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slicers/slicer3.xml" ContentType="application/vnd.ms-excel.slicer+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mbcsp-my.sharepoint.com/personal/abharbi_mbc_net/Documents/Documents/HR/"/>
    </mc:Choice>
  </mc:AlternateContent>
  <xr:revisionPtr revIDLastSave="291" documentId="8_{07457458-7686-4539-A438-1D798324C4D5}" xr6:coauthVersionLast="47" xr6:coauthVersionMax="47" xr10:uidLastSave="{303D7C0D-1E11-4B86-AE73-97B105E2DA26}"/>
  <bookViews>
    <workbookView xWindow="-120" yWindow="-120" windowWidth="38640" windowHeight="21120" tabRatio="933" firstSheet="3" activeTab="7" xr2:uid="{0C41E676-56FD-41C9-A456-970638E80AD4}"/>
  </bookViews>
  <sheets>
    <sheet name="FResult Record" sheetId="11" state="hidden" r:id="rId1"/>
    <sheet name="Overall Evaluation" sheetId="4" state="hidden" r:id="rId2"/>
    <sheet name="Grid_23" sheetId="10" state="hidden" r:id="rId3"/>
    <sheet name="Evalutaion 23" sheetId="5" r:id="rId4"/>
    <sheet name="Grid_24" sheetId="9" state="hidden" r:id="rId5"/>
    <sheet name="Evalutaion 24" sheetId="6" r:id="rId6"/>
    <sheet name="Gird_25 " sheetId="8" state="hidden" r:id="rId7"/>
    <sheet name="Evalutaion 25" sheetId="1" r:id="rId8"/>
  </sheets>
  <externalReferences>
    <externalReference r:id="rId9"/>
    <externalReference r:id="rId10"/>
  </externalReferences>
  <definedNames>
    <definedName name="_xlnm._FilterDatabase" localSheetId="3" hidden="1">'Evalutaion 23'!$A$10:$M$129</definedName>
    <definedName name="_xlnm._FilterDatabase" localSheetId="5" hidden="1">'Evalutaion 24'!$A$9:$M$159</definedName>
    <definedName name="_xlnm._FilterDatabase" localSheetId="7" hidden="1">'Evalutaion 25'!$A$13:$M$209</definedName>
    <definedName name="_xlnm._FilterDatabase" localSheetId="1" hidden="1">'Overall Evaluation'!$C$11:$S$197</definedName>
    <definedName name="categories">[1]Settings!$I$7:$I$15</definedName>
    <definedName name="catSymbols">[1]Settings!$J$7:$J$15</definedName>
    <definedName name="Slicer_Department">#N/A</definedName>
    <definedName name="Slicer_Department1">#N/A</definedName>
    <definedName name="Slicer_Department2">#N/A</definedName>
    <definedName name="Slicer_Location">#N/A</definedName>
    <definedName name="Slicer_Location1">#N/A</definedName>
    <definedName name="Slicer_Location2">#N/A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6" l="1"/>
  <c r="C23" i="6"/>
  <c r="L14" i="1" l="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K14" i="1"/>
  <c r="K15" i="1"/>
  <c r="K16" i="1"/>
  <c r="K17" i="1"/>
  <c r="K18" i="1"/>
  <c r="K19" i="1"/>
  <c r="K20" i="1"/>
  <c r="K21" i="1"/>
  <c r="K22" i="1"/>
  <c r="K23" i="1"/>
  <c r="K24" i="1"/>
  <c r="K25" i="1"/>
  <c r="K26" i="1"/>
  <c r="K27" i="1"/>
  <c r="K28" i="1"/>
  <c r="M28" i="1" s="1"/>
  <c r="K29" i="1"/>
  <c r="M29" i="1" s="1"/>
  <c r="K30" i="1"/>
  <c r="M30" i="1" s="1"/>
  <c r="K31" i="1"/>
  <c r="M31" i="1" s="1"/>
  <c r="K32" i="1"/>
  <c r="K33" i="1"/>
  <c r="K34" i="1"/>
  <c r="K35" i="1"/>
  <c r="K36" i="1"/>
  <c r="K37" i="1"/>
  <c r="K38" i="1"/>
  <c r="K39" i="1"/>
  <c r="K40" i="1"/>
  <c r="K41" i="1"/>
  <c r="K42" i="1"/>
  <c r="M42" i="1" s="1"/>
  <c r="K43" i="1"/>
  <c r="M43" i="1" s="1"/>
  <c r="K44" i="1"/>
  <c r="K45" i="1"/>
  <c r="K46" i="1"/>
  <c r="K47" i="1"/>
  <c r="K48" i="1"/>
  <c r="K49" i="1"/>
  <c r="K50" i="1"/>
  <c r="K51" i="1"/>
  <c r="K52" i="1"/>
  <c r="K53" i="1"/>
  <c r="K54" i="1"/>
  <c r="K55" i="1"/>
  <c r="K56" i="1"/>
  <c r="M56" i="1" s="1"/>
  <c r="K57" i="1"/>
  <c r="M57" i="1" s="1"/>
  <c r="K58" i="1"/>
  <c r="M58" i="1" s="1"/>
  <c r="K59" i="1"/>
  <c r="K60" i="1"/>
  <c r="K61" i="1"/>
  <c r="K62" i="1"/>
  <c r="K63" i="1"/>
  <c r="K64" i="1"/>
  <c r="K65" i="1"/>
  <c r="K66" i="1"/>
  <c r="K67" i="1"/>
  <c r="K68" i="1"/>
  <c r="K69" i="1"/>
  <c r="K70" i="1"/>
  <c r="M70" i="1" s="1"/>
  <c r="K71" i="1"/>
  <c r="K72" i="1"/>
  <c r="M72" i="1" s="1"/>
  <c r="K73" i="1"/>
  <c r="K74" i="1"/>
  <c r="K75" i="1"/>
  <c r="K76" i="1"/>
  <c r="K77" i="1"/>
  <c r="K78" i="1"/>
  <c r="K79" i="1"/>
  <c r="K80" i="1"/>
  <c r="K81" i="1"/>
  <c r="K82" i="1"/>
  <c r="K83" i="1"/>
  <c r="K84" i="1"/>
  <c r="K85" i="1"/>
  <c r="M85" i="1" s="1"/>
  <c r="K86" i="1"/>
  <c r="M86" i="1" s="1"/>
  <c r="K87" i="1"/>
  <c r="M87" i="1" s="1"/>
  <c r="K88" i="1"/>
  <c r="M88" i="1" s="1"/>
  <c r="K89" i="1"/>
  <c r="M89" i="1" s="1"/>
  <c r="K90" i="1"/>
  <c r="K91" i="1"/>
  <c r="K92" i="1"/>
  <c r="K93" i="1"/>
  <c r="K94" i="1"/>
  <c r="K95" i="1"/>
  <c r="K96" i="1"/>
  <c r="K97" i="1"/>
  <c r="K98" i="1"/>
  <c r="K99" i="1"/>
  <c r="K100" i="1"/>
  <c r="M100" i="1" s="1"/>
  <c r="K101" i="1"/>
  <c r="M101" i="1" s="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K28" i="6"/>
  <c r="K71" i="6"/>
  <c r="K96" i="6"/>
  <c r="K120" i="6"/>
  <c r="K121" i="6"/>
  <c r="K133" i="6"/>
  <c r="K148" i="6"/>
  <c r="K159" i="6"/>
  <c r="K78"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C11" i="6"/>
  <c r="C12" i="6"/>
  <c r="C13" i="6"/>
  <c r="C14" i="6"/>
  <c r="C15" i="6"/>
  <c r="C16" i="6"/>
  <c r="C17" i="6"/>
  <c r="C18" i="6"/>
  <c r="C19" i="6"/>
  <c r="C20" i="6"/>
  <c r="C21" i="6"/>
  <c r="C22"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0" i="6"/>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1" i="5"/>
  <c r="H10" i="6"/>
  <c r="K10" i="6" s="1"/>
  <c r="H11" i="6"/>
  <c r="K11" i="6" s="1"/>
  <c r="H12" i="6"/>
  <c r="K12" i="6" s="1"/>
  <c r="H13" i="6"/>
  <c r="K13" i="6" s="1"/>
  <c r="H14" i="6"/>
  <c r="K14" i="6" s="1"/>
  <c r="H15" i="6"/>
  <c r="K15" i="6" s="1"/>
  <c r="H16" i="6"/>
  <c r="K16" i="6" s="1"/>
  <c r="H17" i="6"/>
  <c r="K17" i="6" s="1"/>
  <c r="H18" i="6"/>
  <c r="K18" i="6" s="1"/>
  <c r="H19" i="6"/>
  <c r="K19" i="6" s="1"/>
  <c r="H20" i="6"/>
  <c r="K20" i="6" s="1"/>
  <c r="H21" i="6"/>
  <c r="K21" i="6" s="1"/>
  <c r="H22" i="6"/>
  <c r="K22" i="6" s="1"/>
  <c r="H23" i="6"/>
  <c r="K23" i="6" s="1"/>
  <c r="H24" i="6"/>
  <c r="K24" i="6" s="1"/>
  <c r="H25" i="6"/>
  <c r="K25" i="6" s="1"/>
  <c r="H26" i="6"/>
  <c r="K26" i="6" s="1"/>
  <c r="H27" i="6"/>
  <c r="K27" i="6" s="1"/>
  <c r="H29" i="6"/>
  <c r="K29" i="6" s="1"/>
  <c r="H30" i="6"/>
  <c r="K30" i="6" s="1"/>
  <c r="H31" i="6"/>
  <c r="K31" i="6" s="1"/>
  <c r="H32" i="6"/>
  <c r="K32" i="6" s="1"/>
  <c r="H33" i="6"/>
  <c r="K33" i="6" s="1"/>
  <c r="H34" i="6"/>
  <c r="K34" i="6" s="1"/>
  <c r="H35" i="6"/>
  <c r="K35" i="6" s="1"/>
  <c r="H36" i="6"/>
  <c r="K36" i="6" s="1"/>
  <c r="H37" i="6"/>
  <c r="K37" i="6" s="1"/>
  <c r="H38" i="6"/>
  <c r="K38" i="6" s="1"/>
  <c r="H39" i="6"/>
  <c r="K39" i="6" s="1"/>
  <c r="H40" i="6"/>
  <c r="K40" i="6" s="1"/>
  <c r="H41" i="6"/>
  <c r="K41" i="6" s="1"/>
  <c r="H42" i="6"/>
  <c r="K42" i="6" s="1"/>
  <c r="H43" i="6"/>
  <c r="K43" i="6" s="1"/>
  <c r="H44" i="6"/>
  <c r="K44" i="6" s="1"/>
  <c r="H45" i="6"/>
  <c r="K45" i="6" s="1"/>
  <c r="H46" i="6"/>
  <c r="K46" i="6" s="1"/>
  <c r="H47" i="6"/>
  <c r="K47" i="6" s="1"/>
  <c r="H48" i="6"/>
  <c r="K48" i="6" s="1"/>
  <c r="H49" i="6"/>
  <c r="K49" i="6" s="1"/>
  <c r="H50" i="6"/>
  <c r="K50" i="6" s="1"/>
  <c r="H51" i="6"/>
  <c r="K51" i="6" s="1"/>
  <c r="H52" i="6"/>
  <c r="K52" i="6" s="1"/>
  <c r="H53" i="6"/>
  <c r="K53" i="6" s="1"/>
  <c r="H54" i="6"/>
  <c r="K54" i="6" s="1"/>
  <c r="H55" i="6"/>
  <c r="K55" i="6" s="1"/>
  <c r="H56" i="6"/>
  <c r="K56" i="6" s="1"/>
  <c r="H57" i="6"/>
  <c r="K57" i="6" s="1"/>
  <c r="H58" i="6"/>
  <c r="K58" i="6" s="1"/>
  <c r="H59" i="6"/>
  <c r="K59" i="6" s="1"/>
  <c r="H60" i="6"/>
  <c r="K60" i="6" s="1"/>
  <c r="H61" i="6"/>
  <c r="K61" i="6" s="1"/>
  <c r="K62" i="6"/>
  <c r="H63" i="6"/>
  <c r="K63" i="6" s="1"/>
  <c r="H64" i="6"/>
  <c r="K64" i="6" s="1"/>
  <c r="H65" i="6"/>
  <c r="K65" i="6" s="1"/>
  <c r="H66" i="6"/>
  <c r="K66" i="6" s="1"/>
  <c r="H67" i="6"/>
  <c r="K67" i="6" s="1"/>
  <c r="H68" i="6"/>
  <c r="K68" i="6" s="1"/>
  <c r="H69" i="6"/>
  <c r="K69" i="6" s="1"/>
  <c r="H70" i="6"/>
  <c r="K70" i="6" s="1"/>
  <c r="H72" i="6"/>
  <c r="K72" i="6" s="1"/>
  <c r="H73" i="6"/>
  <c r="K73" i="6" s="1"/>
  <c r="H74" i="6"/>
  <c r="K74" i="6" s="1"/>
  <c r="H75" i="6"/>
  <c r="K75" i="6" s="1"/>
  <c r="H76" i="6"/>
  <c r="K76" i="6" s="1"/>
  <c r="H77" i="6"/>
  <c r="K77" i="6" s="1"/>
  <c r="H78" i="6"/>
  <c r="K78" i="6" s="1"/>
  <c r="H79" i="6"/>
  <c r="K79" i="6" s="1"/>
  <c r="H80" i="6"/>
  <c r="K80" i="6" s="1"/>
  <c r="H81" i="6"/>
  <c r="K81" i="6" s="1"/>
  <c r="H82" i="6"/>
  <c r="K82" i="6" s="1"/>
  <c r="H83" i="6"/>
  <c r="K83" i="6" s="1"/>
  <c r="H84" i="6"/>
  <c r="K84" i="6" s="1"/>
  <c r="H85" i="6"/>
  <c r="K85" i="6" s="1"/>
  <c r="H86" i="6"/>
  <c r="K86" i="6" s="1"/>
  <c r="H87" i="6"/>
  <c r="K87" i="6" s="1"/>
  <c r="H88" i="6"/>
  <c r="K88" i="6" s="1"/>
  <c r="H89" i="6"/>
  <c r="K89" i="6" s="1"/>
  <c r="H90" i="6"/>
  <c r="K90" i="6" s="1"/>
  <c r="H91" i="6"/>
  <c r="K91" i="6" s="1"/>
  <c r="H92" i="6"/>
  <c r="K92" i="6" s="1"/>
  <c r="H93" i="6"/>
  <c r="K93" i="6" s="1"/>
  <c r="H94" i="6"/>
  <c r="K94" i="6" s="1"/>
  <c r="H95" i="6"/>
  <c r="K95" i="6" s="1"/>
  <c r="H97" i="6"/>
  <c r="K97" i="6" s="1"/>
  <c r="H98" i="6"/>
  <c r="K98" i="6" s="1"/>
  <c r="H99" i="6"/>
  <c r="K99" i="6" s="1"/>
  <c r="H100" i="6"/>
  <c r="K100" i="6" s="1"/>
  <c r="H101" i="6"/>
  <c r="K101" i="6" s="1"/>
  <c r="H102" i="6"/>
  <c r="K102" i="6" s="1"/>
  <c r="H103" i="6"/>
  <c r="K103" i="6" s="1"/>
  <c r="H104" i="6"/>
  <c r="K104" i="6" s="1"/>
  <c r="H105" i="6"/>
  <c r="K105" i="6" s="1"/>
  <c r="H106" i="6"/>
  <c r="K106" i="6" s="1"/>
  <c r="H107" i="6"/>
  <c r="K107" i="6" s="1"/>
  <c r="H108" i="6"/>
  <c r="K108" i="6" s="1"/>
  <c r="H109" i="6"/>
  <c r="K109" i="6" s="1"/>
  <c r="H110" i="6"/>
  <c r="K110" i="6" s="1"/>
  <c r="H111" i="6"/>
  <c r="K111" i="6" s="1"/>
  <c r="H112" i="6"/>
  <c r="K112" i="6" s="1"/>
  <c r="H113" i="6"/>
  <c r="K113" i="6" s="1"/>
  <c r="H114" i="6"/>
  <c r="K114" i="6" s="1"/>
  <c r="H115" i="6"/>
  <c r="K115" i="6" s="1"/>
  <c r="H116" i="6"/>
  <c r="K116" i="6" s="1"/>
  <c r="H117" i="6"/>
  <c r="K117" i="6" s="1"/>
  <c r="H118" i="6"/>
  <c r="K118" i="6" s="1"/>
  <c r="H119" i="6"/>
  <c r="K119" i="6" s="1"/>
  <c r="H122" i="6"/>
  <c r="K122" i="6" s="1"/>
  <c r="H123" i="6"/>
  <c r="K123" i="6" s="1"/>
  <c r="H124" i="6"/>
  <c r="K124" i="6" s="1"/>
  <c r="H125" i="6"/>
  <c r="K125" i="6" s="1"/>
  <c r="H126" i="6"/>
  <c r="K126" i="6" s="1"/>
  <c r="H127" i="6"/>
  <c r="K127" i="6" s="1"/>
  <c r="H128" i="6"/>
  <c r="K128" i="6" s="1"/>
  <c r="H129" i="6"/>
  <c r="K129" i="6" s="1"/>
  <c r="H130" i="6"/>
  <c r="K130" i="6" s="1"/>
  <c r="H131" i="6"/>
  <c r="K131" i="6" s="1"/>
  <c r="H132" i="6"/>
  <c r="K132" i="6" s="1"/>
  <c r="H134" i="6"/>
  <c r="K134" i="6" s="1"/>
  <c r="H135" i="6"/>
  <c r="K135" i="6" s="1"/>
  <c r="H136" i="6"/>
  <c r="K136" i="6" s="1"/>
  <c r="H137" i="6"/>
  <c r="K137" i="6" s="1"/>
  <c r="H138" i="6"/>
  <c r="K138" i="6" s="1"/>
  <c r="H139" i="6"/>
  <c r="K139" i="6" s="1"/>
  <c r="H140" i="6"/>
  <c r="K140" i="6" s="1"/>
  <c r="H141" i="6"/>
  <c r="K141" i="6" s="1"/>
  <c r="H142" i="6"/>
  <c r="K142" i="6" s="1"/>
  <c r="H143" i="6"/>
  <c r="K143" i="6" s="1"/>
  <c r="H144" i="6"/>
  <c r="K144" i="6" s="1"/>
  <c r="H145" i="6"/>
  <c r="K145" i="6" s="1"/>
  <c r="H146" i="6"/>
  <c r="K146" i="6" s="1"/>
  <c r="H147" i="6"/>
  <c r="K147" i="6" s="1"/>
  <c r="H149" i="6"/>
  <c r="K149" i="6" s="1"/>
  <c r="H150" i="6"/>
  <c r="K150" i="6" s="1"/>
  <c r="H151" i="6"/>
  <c r="K151" i="6" s="1"/>
  <c r="H152" i="6"/>
  <c r="K152" i="6" s="1"/>
  <c r="H153" i="6"/>
  <c r="K153" i="6" s="1"/>
  <c r="H154" i="6"/>
  <c r="K154" i="6" s="1"/>
  <c r="H155" i="6"/>
  <c r="K155" i="6" s="1"/>
  <c r="H156" i="6"/>
  <c r="K156" i="6" s="1"/>
  <c r="H157" i="6"/>
  <c r="K157" i="6" s="1"/>
  <c r="H158" i="6"/>
  <c r="K158" i="6" s="1"/>
  <c r="M19" i="1" l="1"/>
  <c r="M93" i="1"/>
  <c r="M98" i="1"/>
  <c r="M99" i="1"/>
  <c r="M84" i="1"/>
  <c r="M73" i="1"/>
  <c r="M16" i="1"/>
  <c r="M20" i="1"/>
  <c r="M103" i="1"/>
  <c r="M22" i="1"/>
  <c r="M61" i="1"/>
  <c r="M92" i="1"/>
  <c r="M53" i="1"/>
  <c r="M36" i="1"/>
  <c r="M45" i="1"/>
  <c r="M46" i="1"/>
  <c r="M59" i="1"/>
  <c r="M90" i="1"/>
  <c r="M107" i="1"/>
  <c r="M65" i="1"/>
  <c r="M97" i="1"/>
  <c r="M26" i="1"/>
  <c r="M40" i="1"/>
  <c r="M91" i="1"/>
  <c r="M64" i="1"/>
  <c r="M108" i="1"/>
  <c r="M50" i="1"/>
  <c r="M41" i="1"/>
  <c r="M81" i="1"/>
  <c r="M106" i="1"/>
  <c r="M94" i="1"/>
  <c r="M79" i="1"/>
  <c r="M44" i="1"/>
  <c r="M69" i="1"/>
  <c r="M51" i="1"/>
  <c r="M13" i="6"/>
  <c r="M23" i="1"/>
  <c r="M37" i="1"/>
  <c r="M52" i="1"/>
  <c r="M14" i="1"/>
  <c r="M25" i="1"/>
  <c r="M82" i="1"/>
  <c r="M80" i="1"/>
  <c r="M78" i="1"/>
  <c r="M27" i="1"/>
  <c r="M49" i="1"/>
  <c r="M77" i="1"/>
  <c r="M12" i="6"/>
  <c r="M83" i="1"/>
  <c r="M55" i="1"/>
  <c r="M67" i="1"/>
  <c r="M75" i="1"/>
  <c r="M48" i="1"/>
  <c r="M137" i="6"/>
  <c r="M123" i="6"/>
  <c r="M47" i="1"/>
  <c r="M62" i="1"/>
  <c r="M104" i="1"/>
  <c r="M74" i="1"/>
  <c r="M60" i="1"/>
  <c r="M15" i="6"/>
  <c r="M14" i="6"/>
  <c r="M11" i="6"/>
  <c r="M148" i="6"/>
  <c r="M106" i="6"/>
  <c r="M92" i="6"/>
  <c r="M78" i="6"/>
  <c r="M109" i="6"/>
  <c r="M159" i="6"/>
  <c r="M81" i="6"/>
  <c r="M78" i="5"/>
  <c r="M39" i="6"/>
  <c r="M95" i="6"/>
  <c r="M121" i="6"/>
  <c r="M134" i="6"/>
  <c r="M120" i="6"/>
  <c r="M133" i="6"/>
  <c r="M151" i="6"/>
  <c r="M149" i="6"/>
  <c r="M67" i="6"/>
  <c r="M135" i="6"/>
  <c r="M23" i="6"/>
  <c r="M25" i="6"/>
  <c r="M53" i="6"/>
  <c r="M107" i="6"/>
  <c r="M93" i="6"/>
  <c r="M79" i="6"/>
  <c r="M65" i="6"/>
  <c r="M51" i="6"/>
  <c r="M37" i="6"/>
  <c r="M64" i="6"/>
  <c r="M50" i="6"/>
  <c r="M36" i="6"/>
  <c r="M22" i="6"/>
  <c r="M49" i="6"/>
  <c r="M150" i="6"/>
  <c r="M136" i="6"/>
  <c r="M122" i="6"/>
  <c r="M108" i="6"/>
  <c r="M94" i="6"/>
  <c r="M80" i="6"/>
  <c r="M66" i="6"/>
  <c r="M52" i="6"/>
  <c r="M38" i="6"/>
  <c r="M24" i="6"/>
  <c r="M10" i="6"/>
  <c r="M34" i="6"/>
  <c r="M119" i="6"/>
  <c r="M91" i="6"/>
  <c r="M145" i="6"/>
  <c r="M131" i="6"/>
  <c r="M103" i="6"/>
  <c r="M89" i="6"/>
  <c r="M47" i="6"/>
  <c r="M33" i="6"/>
  <c r="M19" i="6"/>
  <c r="M62" i="6"/>
  <c r="M77" i="6"/>
  <c r="M48" i="6"/>
  <c r="M75" i="6"/>
  <c r="M76" i="6"/>
  <c r="M118" i="6"/>
  <c r="M117" i="6"/>
  <c r="M130" i="6"/>
  <c r="M115" i="6"/>
  <c r="M155" i="6"/>
  <c r="M141" i="6"/>
  <c r="M127" i="6"/>
  <c r="M113" i="6"/>
  <c r="M99" i="6"/>
  <c r="M85" i="6"/>
  <c r="M71" i="6"/>
  <c r="M57" i="6"/>
  <c r="M43" i="6"/>
  <c r="M29" i="6"/>
  <c r="M104" i="6"/>
  <c r="M61" i="6"/>
  <c r="M74" i="6"/>
  <c r="M154" i="6"/>
  <c r="M140" i="6"/>
  <c r="M126" i="6"/>
  <c r="M112" i="6"/>
  <c r="M98" i="6"/>
  <c r="M84" i="6"/>
  <c r="M70" i="6"/>
  <c r="M56" i="6"/>
  <c r="M42" i="6"/>
  <c r="M28" i="6"/>
  <c r="M132" i="6"/>
  <c r="M144" i="6"/>
  <c r="M129" i="6"/>
  <c r="M156" i="6"/>
  <c r="M153" i="6"/>
  <c r="M139" i="6"/>
  <c r="M125" i="6"/>
  <c r="M111" i="6"/>
  <c r="M97" i="6"/>
  <c r="M83" i="6"/>
  <c r="M69" i="6"/>
  <c r="M55" i="6"/>
  <c r="M41" i="6"/>
  <c r="M27" i="6"/>
  <c r="M147" i="6"/>
  <c r="M105" i="6"/>
  <c r="M63" i="6"/>
  <c r="M35" i="6"/>
  <c r="M21" i="6"/>
  <c r="M146" i="6"/>
  <c r="M90" i="6"/>
  <c r="M20" i="6"/>
  <c r="M158" i="6"/>
  <c r="M116" i="6"/>
  <c r="M102" i="6"/>
  <c r="M88" i="6"/>
  <c r="M60" i="6"/>
  <c r="M46" i="6"/>
  <c r="M32" i="6"/>
  <c r="M18" i="6"/>
  <c r="M157" i="6"/>
  <c r="M143" i="6"/>
  <c r="M101" i="6"/>
  <c r="M87" i="6"/>
  <c r="M73" i="6"/>
  <c r="M59" i="6"/>
  <c r="M45" i="6"/>
  <c r="M31" i="6"/>
  <c r="M17" i="6"/>
  <c r="M142" i="6"/>
  <c r="M128" i="6"/>
  <c r="M114" i="6"/>
  <c r="M100" i="6"/>
  <c r="M86" i="6"/>
  <c r="M72" i="6"/>
  <c r="M58" i="6"/>
  <c r="M44" i="6"/>
  <c r="M30" i="6"/>
  <c r="M16" i="6"/>
  <c r="M152" i="6"/>
  <c r="M138" i="6"/>
  <c r="M124" i="6"/>
  <c r="M110" i="6"/>
  <c r="M96" i="6"/>
  <c r="M82" i="6"/>
  <c r="M68" i="6"/>
  <c r="M54" i="6"/>
  <c r="M40" i="6"/>
  <c r="M26" i="6"/>
  <c r="M32" i="1"/>
  <c r="M71" i="1"/>
  <c r="M102" i="1"/>
  <c r="M15" i="1"/>
  <c r="M33" i="1"/>
  <c r="M76" i="1"/>
  <c r="M68" i="1"/>
  <c r="M105" i="1"/>
  <c r="M17" i="1"/>
  <c r="M96" i="1"/>
  <c r="M39" i="1"/>
  <c r="M54" i="1"/>
  <c r="M66" i="1"/>
  <c r="M21" i="1"/>
  <c r="M95" i="1"/>
  <c r="M24" i="1"/>
  <c r="M18" i="1"/>
  <c r="M38" i="1"/>
  <c r="M63" i="1"/>
  <c r="M35" i="1"/>
  <c r="M34"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L5" i="11" l="1"/>
  <c r="N5" i="11"/>
  <c r="M5" i="11"/>
  <c r="N7" i="11"/>
  <c r="M7" i="11"/>
  <c r="L7" i="11"/>
  <c r="N6" i="11"/>
  <c r="M6" i="11"/>
  <c r="L6" i="11"/>
  <c r="F3" i="6" a="1"/>
  <c r="F3" i="6" s="1"/>
  <c r="G4" i="6" a="1"/>
  <c r="G4" i="6" s="1"/>
  <c r="F4" i="6" a="1"/>
  <c r="F4" i="6" s="1"/>
  <c r="E4" i="6" a="1"/>
  <c r="E4" i="6" s="1"/>
  <c r="G3" i="6" a="1"/>
  <c r="G3" i="6" s="1"/>
  <c r="E3" i="6" a="1"/>
  <c r="E3" i="6" s="1"/>
  <c r="F2" i="6" a="1"/>
  <c r="F2" i="6" s="1"/>
  <c r="G2" i="6" a="1"/>
  <c r="G2" i="6" s="1"/>
  <c r="E2" i="6" a="1"/>
  <c r="E2" i="6" s="1"/>
  <c r="H129" i="5"/>
  <c r="K129" i="5" s="1"/>
  <c r="M129" i="5" s="1"/>
  <c r="H128" i="5"/>
  <c r="K128" i="5" s="1"/>
  <c r="M128" i="5" s="1"/>
  <c r="H127" i="5"/>
  <c r="K127" i="5" s="1"/>
  <c r="M127" i="5" s="1"/>
  <c r="H126" i="5"/>
  <c r="K126" i="5" s="1"/>
  <c r="M126" i="5" s="1"/>
  <c r="H125" i="5"/>
  <c r="K125" i="5" s="1"/>
  <c r="M125" i="5" s="1"/>
  <c r="H124" i="5"/>
  <c r="K124" i="5" s="1"/>
  <c r="M124" i="5" s="1"/>
  <c r="H123" i="5"/>
  <c r="K123" i="5" s="1"/>
  <c r="M123" i="5" s="1"/>
  <c r="H122" i="5"/>
  <c r="K122" i="5" s="1"/>
  <c r="M122" i="5" s="1"/>
  <c r="H121" i="5"/>
  <c r="K121" i="5" s="1"/>
  <c r="M121" i="5" s="1"/>
  <c r="H120" i="5"/>
  <c r="K120" i="5" s="1"/>
  <c r="M120" i="5" s="1"/>
  <c r="H119" i="5"/>
  <c r="K119" i="5" s="1"/>
  <c r="M119" i="5" s="1"/>
  <c r="H118" i="5"/>
  <c r="K118" i="5" s="1"/>
  <c r="M118" i="5" s="1"/>
  <c r="H117" i="5"/>
  <c r="K117" i="5" s="1"/>
  <c r="M117" i="5" s="1"/>
  <c r="H116" i="5"/>
  <c r="K116" i="5" s="1"/>
  <c r="M116" i="5" s="1"/>
  <c r="H115" i="5"/>
  <c r="K115" i="5" s="1"/>
  <c r="M115" i="5" s="1"/>
  <c r="H114" i="5"/>
  <c r="K114" i="5" s="1"/>
  <c r="M114" i="5" s="1"/>
  <c r="H113" i="5"/>
  <c r="K113" i="5" s="1"/>
  <c r="M113" i="5" s="1"/>
  <c r="H112" i="5"/>
  <c r="K112" i="5" s="1"/>
  <c r="M112" i="5" s="1"/>
  <c r="H111" i="5"/>
  <c r="K111" i="5" s="1"/>
  <c r="M111" i="5" s="1"/>
  <c r="H110" i="5"/>
  <c r="K110" i="5" s="1"/>
  <c r="M110" i="5" s="1"/>
  <c r="H109" i="5"/>
  <c r="K109" i="5" s="1"/>
  <c r="M109" i="5" s="1"/>
  <c r="H108" i="5"/>
  <c r="K108" i="5" s="1"/>
  <c r="M108" i="5" s="1"/>
  <c r="H107" i="5"/>
  <c r="K107" i="5" s="1"/>
  <c r="M107" i="5" s="1"/>
  <c r="H106" i="5"/>
  <c r="K106" i="5" s="1"/>
  <c r="M106" i="5" s="1"/>
  <c r="H105" i="5"/>
  <c r="K105" i="5" s="1"/>
  <c r="M105" i="5" s="1"/>
  <c r="H104" i="5"/>
  <c r="K104" i="5" s="1"/>
  <c r="M104" i="5" s="1"/>
  <c r="H103" i="5"/>
  <c r="K103" i="5" s="1"/>
  <c r="M103" i="5" s="1"/>
  <c r="H102" i="5"/>
  <c r="K102" i="5" s="1"/>
  <c r="M102" i="5" s="1"/>
  <c r="H101" i="5"/>
  <c r="K101" i="5" s="1"/>
  <c r="M101" i="5" s="1"/>
  <c r="H100" i="5"/>
  <c r="K100" i="5" s="1"/>
  <c r="M100" i="5" s="1"/>
  <c r="H99" i="5"/>
  <c r="K99" i="5" s="1"/>
  <c r="M99" i="5" s="1"/>
  <c r="H98" i="5"/>
  <c r="K98" i="5" s="1"/>
  <c r="M98" i="5" s="1"/>
  <c r="H97" i="5"/>
  <c r="K97" i="5" s="1"/>
  <c r="M97" i="5" s="1"/>
  <c r="H96" i="5"/>
  <c r="K96" i="5" s="1"/>
  <c r="M96" i="5" s="1"/>
  <c r="H95" i="5"/>
  <c r="K95" i="5" s="1"/>
  <c r="M95" i="5" s="1"/>
  <c r="H94" i="5"/>
  <c r="K94" i="5" s="1"/>
  <c r="M94" i="5" s="1"/>
  <c r="H93" i="5"/>
  <c r="K93" i="5" s="1"/>
  <c r="M93" i="5" s="1"/>
  <c r="H92" i="5"/>
  <c r="K92" i="5" s="1"/>
  <c r="M92" i="5" s="1"/>
  <c r="H91" i="5"/>
  <c r="K91" i="5" s="1"/>
  <c r="M91" i="5" s="1"/>
  <c r="H90" i="5"/>
  <c r="K90" i="5" s="1"/>
  <c r="M90" i="5" s="1"/>
  <c r="H89" i="5"/>
  <c r="K89" i="5" s="1"/>
  <c r="M89" i="5" s="1"/>
  <c r="H88" i="5"/>
  <c r="K88" i="5" s="1"/>
  <c r="M88" i="5" s="1"/>
  <c r="H87" i="5"/>
  <c r="K87" i="5" s="1"/>
  <c r="M87" i="5" s="1"/>
  <c r="H86" i="5"/>
  <c r="K86" i="5" s="1"/>
  <c r="M86" i="5" s="1"/>
  <c r="H85" i="5"/>
  <c r="K85" i="5" s="1"/>
  <c r="M85" i="5" s="1"/>
  <c r="H84" i="5"/>
  <c r="K84" i="5" s="1"/>
  <c r="M84" i="5" s="1"/>
  <c r="H83" i="5"/>
  <c r="K83" i="5" s="1"/>
  <c r="M83" i="5" s="1"/>
  <c r="H82" i="5"/>
  <c r="K82" i="5" s="1"/>
  <c r="M82" i="5" s="1"/>
  <c r="H81" i="5"/>
  <c r="K81" i="5" s="1"/>
  <c r="M81" i="5" s="1"/>
  <c r="H80" i="5"/>
  <c r="K80" i="5" s="1"/>
  <c r="M80" i="5" s="1"/>
  <c r="H79" i="5"/>
  <c r="K79" i="5" s="1"/>
  <c r="M79" i="5" s="1"/>
  <c r="H77" i="5"/>
  <c r="K77" i="5" s="1"/>
  <c r="M77" i="5" s="1"/>
  <c r="H76" i="5"/>
  <c r="K76" i="5" s="1"/>
  <c r="M76" i="5" s="1"/>
  <c r="H75" i="5"/>
  <c r="K75" i="5" s="1"/>
  <c r="M75" i="5" s="1"/>
  <c r="H74" i="5"/>
  <c r="K74" i="5" s="1"/>
  <c r="M74" i="5" s="1"/>
  <c r="H73" i="5"/>
  <c r="K73" i="5" s="1"/>
  <c r="M73" i="5" s="1"/>
  <c r="H72" i="5"/>
  <c r="K72" i="5" s="1"/>
  <c r="M72" i="5" s="1"/>
  <c r="H71" i="5"/>
  <c r="K71" i="5" s="1"/>
  <c r="M71" i="5" s="1"/>
  <c r="H70" i="5"/>
  <c r="K70" i="5" s="1"/>
  <c r="M70" i="5" s="1"/>
  <c r="H69" i="5"/>
  <c r="K69" i="5" s="1"/>
  <c r="M69" i="5" s="1"/>
  <c r="H68" i="5"/>
  <c r="K68" i="5" s="1"/>
  <c r="M68" i="5" s="1"/>
  <c r="H67" i="5"/>
  <c r="K67" i="5" s="1"/>
  <c r="M67" i="5" s="1"/>
  <c r="H66" i="5"/>
  <c r="K66" i="5" s="1"/>
  <c r="M66" i="5" s="1"/>
  <c r="H65" i="5"/>
  <c r="K65" i="5" s="1"/>
  <c r="M65" i="5" s="1"/>
  <c r="H64" i="5"/>
  <c r="K64" i="5" s="1"/>
  <c r="M64" i="5" s="1"/>
  <c r="H63" i="5"/>
  <c r="K63" i="5" s="1"/>
  <c r="M63" i="5" s="1"/>
  <c r="H62" i="5"/>
  <c r="K62" i="5" s="1"/>
  <c r="M62" i="5" s="1"/>
  <c r="H61" i="5"/>
  <c r="K61" i="5" s="1"/>
  <c r="M61" i="5" s="1"/>
  <c r="H60" i="5"/>
  <c r="K60" i="5" s="1"/>
  <c r="M60" i="5" s="1"/>
  <c r="H59" i="5"/>
  <c r="K59" i="5" s="1"/>
  <c r="M59" i="5" s="1"/>
  <c r="H58" i="5"/>
  <c r="K58" i="5" s="1"/>
  <c r="M58" i="5" s="1"/>
  <c r="H57" i="5"/>
  <c r="K57" i="5" s="1"/>
  <c r="M57" i="5" s="1"/>
  <c r="H56" i="5"/>
  <c r="K56" i="5" s="1"/>
  <c r="M56" i="5" s="1"/>
  <c r="H55" i="5"/>
  <c r="K55" i="5" s="1"/>
  <c r="M55" i="5" s="1"/>
  <c r="H54" i="5"/>
  <c r="K54" i="5" s="1"/>
  <c r="M54" i="5" s="1"/>
  <c r="H53" i="5"/>
  <c r="K53" i="5" s="1"/>
  <c r="M53" i="5" s="1"/>
  <c r="H52" i="5"/>
  <c r="K52" i="5" s="1"/>
  <c r="M52" i="5" s="1"/>
  <c r="H51" i="5"/>
  <c r="K51" i="5" s="1"/>
  <c r="M51" i="5" s="1"/>
  <c r="H50" i="5"/>
  <c r="K50" i="5" s="1"/>
  <c r="M50" i="5" s="1"/>
  <c r="H49" i="5"/>
  <c r="K49" i="5" s="1"/>
  <c r="M49" i="5" s="1"/>
  <c r="H48" i="5"/>
  <c r="K48" i="5" s="1"/>
  <c r="M48" i="5" s="1"/>
  <c r="H47" i="5"/>
  <c r="K47" i="5" s="1"/>
  <c r="M47" i="5" s="1"/>
  <c r="H46" i="5"/>
  <c r="K46" i="5" s="1"/>
  <c r="M46" i="5" s="1"/>
  <c r="H45" i="5"/>
  <c r="K45" i="5" s="1"/>
  <c r="M45" i="5" s="1"/>
  <c r="H44" i="5"/>
  <c r="K44" i="5" s="1"/>
  <c r="M44" i="5" s="1"/>
  <c r="H43" i="5"/>
  <c r="K43" i="5" s="1"/>
  <c r="M43" i="5" s="1"/>
  <c r="H42" i="5"/>
  <c r="K42" i="5" s="1"/>
  <c r="M42" i="5" s="1"/>
  <c r="H41" i="5"/>
  <c r="K41" i="5" s="1"/>
  <c r="M41" i="5" s="1"/>
  <c r="H40" i="5"/>
  <c r="K40" i="5" s="1"/>
  <c r="M40" i="5" s="1"/>
  <c r="H39" i="5"/>
  <c r="K39" i="5" s="1"/>
  <c r="M39" i="5" s="1"/>
  <c r="H38" i="5"/>
  <c r="K38" i="5" s="1"/>
  <c r="M38" i="5" s="1"/>
  <c r="H37" i="5"/>
  <c r="K37" i="5" s="1"/>
  <c r="M37" i="5" s="1"/>
  <c r="H36" i="5"/>
  <c r="K36" i="5" s="1"/>
  <c r="M36" i="5" s="1"/>
  <c r="H35" i="5"/>
  <c r="K35" i="5" s="1"/>
  <c r="M35" i="5" s="1"/>
  <c r="H34" i="5"/>
  <c r="K34" i="5" s="1"/>
  <c r="M34" i="5" s="1"/>
  <c r="H33" i="5"/>
  <c r="K33" i="5" s="1"/>
  <c r="M33" i="5" s="1"/>
  <c r="H32" i="5"/>
  <c r="K32" i="5" s="1"/>
  <c r="M32" i="5" s="1"/>
  <c r="H31" i="5"/>
  <c r="K31" i="5" s="1"/>
  <c r="M31" i="5" s="1"/>
  <c r="H30" i="5"/>
  <c r="K30" i="5" s="1"/>
  <c r="M30" i="5" s="1"/>
  <c r="H29" i="5"/>
  <c r="K29" i="5" s="1"/>
  <c r="M29" i="5" s="1"/>
  <c r="H28" i="5"/>
  <c r="K28" i="5" s="1"/>
  <c r="M28" i="5" s="1"/>
  <c r="H27" i="5"/>
  <c r="K27" i="5" s="1"/>
  <c r="M27" i="5" s="1"/>
  <c r="H26" i="5"/>
  <c r="K26" i="5" s="1"/>
  <c r="M26" i="5" s="1"/>
  <c r="H25" i="5"/>
  <c r="K25" i="5" s="1"/>
  <c r="M25" i="5" s="1"/>
  <c r="H24" i="5"/>
  <c r="K24" i="5" s="1"/>
  <c r="M24" i="5" s="1"/>
  <c r="H23" i="5"/>
  <c r="K23" i="5" s="1"/>
  <c r="M23" i="5" s="1"/>
  <c r="H22" i="5"/>
  <c r="K22" i="5" s="1"/>
  <c r="M22" i="5" s="1"/>
  <c r="H21" i="5"/>
  <c r="K21" i="5" s="1"/>
  <c r="M21" i="5" s="1"/>
  <c r="H20" i="5"/>
  <c r="K20" i="5" s="1"/>
  <c r="M20" i="5" s="1"/>
  <c r="H19" i="5"/>
  <c r="K19" i="5" s="1"/>
  <c r="M19" i="5" s="1"/>
  <c r="H18" i="5"/>
  <c r="K18" i="5" s="1"/>
  <c r="M18" i="5" s="1"/>
  <c r="H17" i="5"/>
  <c r="K17" i="5" s="1"/>
  <c r="M17" i="5" s="1"/>
  <c r="H16" i="5"/>
  <c r="K16" i="5" s="1"/>
  <c r="M16" i="5" s="1"/>
  <c r="H15" i="5"/>
  <c r="K15" i="5" s="1"/>
  <c r="M15" i="5" s="1"/>
  <c r="H14" i="5"/>
  <c r="K14" i="5" s="1"/>
  <c r="M14" i="5" s="1"/>
  <c r="H13" i="5"/>
  <c r="K13" i="5" s="1"/>
  <c r="M13" i="5" s="1"/>
  <c r="H12" i="5"/>
  <c r="K12" i="5" s="1"/>
  <c r="M12" i="5" s="1"/>
  <c r="H11" i="5"/>
  <c r="K11" i="5" s="1"/>
  <c r="M11" i="5" s="1"/>
  <c r="O197" i="4"/>
  <c r="N197" i="4"/>
  <c r="M197" i="4"/>
  <c r="I197" i="4"/>
  <c r="H197" i="4"/>
  <c r="G197" i="4"/>
  <c r="F197" i="4"/>
  <c r="E197" i="4"/>
  <c r="C197" i="4"/>
  <c r="V196" i="4"/>
  <c r="T196" i="4"/>
  <c r="O196" i="4"/>
  <c r="N196" i="4"/>
  <c r="M196" i="4"/>
  <c r="W196" i="4" s="1" a="1"/>
  <c r="W196" i="4" s="1"/>
  <c r="J196" i="4"/>
  <c r="G196" i="4"/>
  <c r="F196" i="4"/>
  <c r="E196" i="4"/>
  <c r="C196" i="4"/>
  <c r="O195" i="4"/>
  <c r="N195" i="4"/>
  <c r="L195" i="4"/>
  <c r="K195" i="4"/>
  <c r="I195" i="4"/>
  <c r="H195" i="4"/>
  <c r="G195" i="4"/>
  <c r="F195" i="4"/>
  <c r="E195" i="4"/>
  <c r="C195" i="4"/>
  <c r="O194" i="4"/>
  <c r="N194" i="4"/>
  <c r="L194" i="4"/>
  <c r="K194" i="4"/>
  <c r="I194" i="4"/>
  <c r="H194" i="4"/>
  <c r="G194" i="4"/>
  <c r="F194" i="4"/>
  <c r="E194" i="4"/>
  <c r="C194" i="4"/>
  <c r="O193" i="4"/>
  <c r="N193" i="4"/>
  <c r="L193" i="4"/>
  <c r="K193" i="4"/>
  <c r="I193" i="4"/>
  <c r="H193" i="4"/>
  <c r="G193" i="4"/>
  <c r="F193" i="4"/>
  <c r="E193" i="4"/>
  <c r="C193" i="4"/>
  <c r="T192" i="4"/>
  <c r="P192" i="4"/>
  <c r="R192" i="4" s="1"/>
  <c r="M192" i="4"/>
  <c r="J192" i="4"/>
  <c r="U192" i="4" s="1" a="1"/>
  <c r="U192" i="4" s="1"/>
  <c r="G192" i="4"/>
  <c r="F192" i="4"/>
  <c r="E192" i="4"/>
  <c r="C192" i="4"/>
  <c r="O191" i="4"/>
  <c r="N191" i="4"/>
  <c r="L191" i="4"/>
  <c r="K191" i="4"/>
  <c r="I191" i="4"/>
  <c r="H191" i="4"/>
  <c r="G191" i="4"/>
  <c r="F191" i="4"/>
  <c r="E191" i="4"/>
  <c r="C191" i="4"/>
  <c r="O190" i="4"/>
  <c r="N190" i="4"/>
  <c r="L190" i="4"/>
  <c r="K190" i="4"/>
  <c r="I190" i="4"/>
  <c r="H190" i="4"/>
  <c r="G190" i="4"/>
  <c r="F190" i="4"/>
  <c r="E190" i="4"/>
  <c r="C190" i="4"/>
  <c r="O189" i="4"/>
  <c r="N189" i="4"/>
  <c r="L189" i="4"/>
  <c r="K189" i="4"/>
  <c r="I189" i="4"/>
  <c r="H189" i="4"/>
  <c r="G189" i="4"/>
  <c r="F189" i="4"/>
  <c r="E189" i="4"/>
  <c r="C189" i="4"/>
  <c r="O188" i="4"/>
  <c r="N188" i="4"/>
  <c r="L188" i="4"/>
  <c r="K188" i="4"/>
  <c r="I188" i="4"/>
  <c r="H188" i="4"/>
  <c r="G188" i="4"/>
  <c r="F188" i="4"/>
  <c r="E188" i="4"/>
  <c r="C188" i="4"/>
  <c r="O187" i="4"/>
  <c r="N187" i="4"/>
  <c r="L187" i="4"/>
  <c r="K187" i="4"/>
  <c r="I187" i="4"/>
  <c r="H187" i="4"/>
  <c r="G187" i="4"/>
  <c r="F187" i="4"/>
  <c r="E187" i="4"/>
  <c r="C187" i="4"/>
  <c r="O186" i="4"/>
  <c r="N186" i="4"/>
  <c r="L186" i="4"/>
  <c r="K186" i="4"/>
  <c r="I186" i="4"/>
  <c r="H186" i="4"/>
  <c r="G186" i="4"/>
  <c r="F186" i="4"/>
  <c r="E186" i="4"/>
  <c r="C186" i="4"/>
  <c r="O185" i="4"/>
  <c r="N185" i="4"/>
  <c r="L185" i="4"/>
  <c r="K185" i="4"/>
  <c r="I185" i="4"/>
  <c r="H185" i="4"/>
  <c r="G185" i="4"/>
  <c r="F185" i="4"/>
  <c r="E185" i="4"/>
  <c r="C185" i="4"/>
  <c r="O184" i="4"/>
  <c r="N184" i="4"/>
  <c r="M184" i="4"/>
  <c r="W184" i="4" s="1" a="1"/>
  <c r="W184" i="4" s="1"/>
  <c r="I184" i="4"/>
  <c r="H184" i="4"/>
  <c r="G184" i="4"/>
  <c r="F184" i="4"/>
  <c r="E184" i="4"/>
  <c r="C184" i="4"/>
  <c r="W183" i="4" a="1"/>
  <c r="W183" i="4" s="1"/>
  <c r="V183" i="4"/>
  <c r="T183" i="4"/>
  <c r="O183" i="4"/>
  <c r="N183" i="4"/>
  <c r="M183" i="4"/>
  <c r="J183" i="4"/>
  <c r="U183" i="4" s="1" a="1"/>
  <c r="U183" i="4" s="1"/>
  <c r="G183" i="4"/>
  <c r="F183" i="4"/>
  <c r="E183" i="4"/>
  <c r="C183" i="4"/>
  <c r="V182" i="4"/>
  <c r="U182" i="4" a="1"/>
  <c r="U182" i="4" s="1"/>
  <c r="T182" i="4"/>
  <c r="O182" i="4"/>
  <c r="N182" i="4"/>
  <c r="M182" i="4"/>
  <c r="W182" i="4" s="1" a="1"/>
  <c r="W182" i="4" s="1"/>
  <c r="J182" i="4"/>
  <c r="G182" i="4"/>
  <c r="F182" i="4"/>
  <c r="E182" i="4"/>
  <c r="C182" i="4"/>
  <c r="W181" i="4" a="1"/>
  <c r="W181" i="4" s="1"/>
  <c r="V181" i="4"/>
  <c r="T181" i="4"/>
  <c r="O181" i="4"/>
  <c r="N181" i="4"/>
  <c r="M181" i="4"/>
  <c r="J181" i="4"/>
  <c r="U181" i="4" s="1" a="1"/>
  <c r="U181" i="4" s="1"/>
  <c r="G181" i="4"/>
  <c r="F181" i="4"/>
  <c r="E181" i="4"/>
  <c r="C181" i="4"/>
  <c r="O180" i="4"/>
  <c r="N180" i="4"/>
  <c r="L180" i="4"/>
  <c r="K180" i="4"/>
  <c r="I180" i="4"/>
  <c r="H180" i="4"/>
  <c r="G180" i="4"/>
  <c r="F180" i="4"/>
  <c r="E180" i="4"/>
  <c r="C180" i="4"/>
  <c r="O179" i="4"/>
  <c r="N179" i="4"/>
  <c r="L179" i="4"/>
  <c r="K179" i="4"/>
  <c r="I179" i="4"/>
  <c r="H179" i="4"/>
  <c r="G179" i="4"/>
  <c r="F179" i="4"/>
  <c r="E179" i="4"/>
  <c r="C179" i="4"/>
  <c r="O178" i="4"/>
  <c r="N178" i="4"/>
  <c r="L178" i="4"/>
  <c r="K178" i="4"/>
  <c r="I178" i="4"/>
  <c r="H178" i="4"/>
  <c r="G178" i="4"/>
  <c r="F178" i="4"/>
  <c r="E178" i="4"/>
  <c r="C178" i="4"/>
  <c r="O177" i="4"/>
  <c r="N177" i="4"/>
  <c r="L177" i="4"/>
  <c r="K177" i="4"/>
  <c r="I177" i="4"/>
  <c r="H177" i="4"/>
  <c r="G177" i="4"/>
  <c r="F177" i="4"/>
  <c r="E177" i="4"/>
  <c r="C177" i="4"/>
  <c r="T176" i="4"/>
  <c r="O176" i="4"/>
  <c r="N176" i="4"/>
  <c r="L176" i="4"/>
  <c r="K176" i="4"/>
  <c r="J176" i="4"/>
  <c r="G176" i="4"/>
  <c r="F176" i="4"/>
  <c r="E176" i="4"/>
  <c r="C176" i="4"/>
  <c r="O175" i="4"/>
  <c r="N175" i="4"/>
  <c r="L175" i="4"/>
  <c r="K175" i="4"/>
  <c r="I175" i="4"/>
  <c r="H175" i="4"/>
  <c r="G175" i="4"/>
  <c r="F175" i="4"/>
  <c r="E175" i="4"/>
  <c r="C175" i="4"/>
  <c r="O174" i="4"/>
  <c r="N174" i="4"/>
  <c r="L174" i="4"/>
  <c r="K174" i="4"/>
  <c r="I174" i="4"/>
  <c r="H174" i="4"/>
  <c r="G174" i="4"/>
  <c r="F174" i="4"/>
  <c r="E174" i="4"/>
  <c r="C174" i="4"/>
  <c r="O173" i="4"/>
  <c r="N173" i="4"/>
  <c r="L173" i="4"/>
  <c r="K173" i="4"/>
  <c r="I173" i="4"/>
  <c r="H173" i="4"/>
  <c r="G173" i="4"/>
  <c r="F173" i="4"/>
  <c r="E173" i="4"/>
  <c r="C173" i="4"/>
  <c r="O172" i="4"/>
  <c r="N172" i="4"/>
  <c r="L172" i="4"/>
  <c r="K172" i="4"/>
  <c r="I172" i="4"/>
  <c r="H172" i="4"/>
  <c r="G172" i="4"/>
  <c r="F172" i="4"/>
  <c r="E172" i="4"/>
  <c r="C172" i="4"/>
  <c r="O171" i="4"/>
  <c r="N171" i="4"/>
  <c r="L171" i="4"/>
  <c r="K171" i="4"/>
  <c r="I171" i="4"/>
  <c r="H171" i="4"/>
  <c r="G171" i="4"/>
  <c r="F171" i="4"/>
  <c r="E171" i="4"/>
  <c r="C171" i="4"/>
  <c r="O170" i="4"/>
  <c r="N170" i="4"/>
  <c r="L170" i="4"/>
  <c r="K170" i="4"/>
  <c r="I170" i="4"/>
  <c r="H170" i="4"/>
  <c r="G170" i="4"/>
  <c r="F170" i="4"/>
  <c r="E170" i="4"/>
  <c r="C170" i="4"/>
  <c r="U169" i="4" a="1"/>
  <c r="U169" i="4" s="1"/>
  <c r="T169" i="4"/>
  <c r="O169" i="4"/>
  <c r="N169" i="4"/>
  <c r="L169" i="4"/>
  <c r="K169" i="4"/>
  <c r="J169" i="4"/>
  <c r="G169" i="4"/>
  <c r="F169" i="4"/>
  <c r="E169" i="4"/>
  <c r="C169" i="4"/>
  <c r="O168" i="4"/>
  <c r="N168" i="4"/>
  <c r="L168" i="4"/>
  <c r="K168" i="4"/>
  <c r="I168" i="4"/>
  <c r="H168" i="4"/>
  <c r="G168" i="4"/>
  <c r="F168" i="4"/>
  <c r="E168" i="4"/>
  <c r="C168" i="4"/>
  <c r="O167" i="4"/>
  <c r="N167" i="4"/>
  <c r="L167" i="4"/>
  <c r="K167" i="4"/>
  <c r="I167" i="4"/>
  <c r="H167" i="4"/>
  <c r="G167" i="4"/>
  <c r="F167" i="4"/>
  <c r="E167" i="4"/>
  <c r="C167" i="4"/>
  <c r="T166" i="4"/>
  <c r="O166" i="4"/>
  <c r="N166" i="4"/>
  <c r="M166" i="4"/>
  <c r="V166" i="4" s="1"/>
  <c r="J166" i="4"/>
  <c r="G166" i="4"/>
  <c r="F166" i="4"/>
  <c r="E166" i="4"/>
  <c r="C166" i="4"/>
  <c r="V165" i="4"/>
  <c r="T165" i="4"/>
  <c r="O165" i="4"/>
  <c r="N165" i="4"/>
  <c r="M165" i="4"/>
  <c r="W165" i="4" s="1" a="1"/>
  <c r="W165" i="4" s="1"/>
  <c r="J165" i="4"/>
  <c r="G165" i="4"/>
  <c r="F165" i="4"/>
  <c r="E165" i="4"/>
  <c r="C165" i="4"/>
  <c r="U164" i="4" a="1"/>
  <c r="U164" i="4" s="1"/>
  <c r="T164" i="4"/>
  <c r="O164" i="4"/>
  <c r="N164" i="4"/>
  <c r="M164" i="4"/>
  <c r="W164" i="4" s="1" a="1"/>
  <c r="W164" i="4" s="1"/>
  <c r="J164" i="4"/>
  <c r="G164" i="4"/>
  <c r="F164" i="4"/>
  <c r="E164" i="4"/>
  <c r="C164" i="4"/>
  <c r="O163" i="4"/>
  <c r="N163" i="4"/>
  <c r="L163" i="4"/>
  <c r="K163" i="4"/>
  <c r="I163" i="4"/>
  <c r="H163" i="4"/>
  <c r="G163" i="4"/>
  <c r="F163" i="4"/>
  <c r="E163" i="4"/>
  <c r="C163" i="4"/>
  <c r="O162" i="4"/>
  <c r="N162" i="4"/>
  <c r="L162" i="4"/>
  <c r="K162" i="4"/>
  <c r="J162" i="4"/>
  <c r="U162" i="4" s="1" a="1"/>
  <c r="U162" i="4" s="1"/>
  <c r="G162" i="4"/>
  <c r="F162" i="4"/>
  <c r="E162" i="4"/>
  <c r="C162" i="4"/>
  <c r="O161" i="4"/>
  <c r="N161" i="4"/>
  <c r="L161" i="4"/>
  <c r="K161" i="4"/>
  <c r="I161" i="4"/>
  <c r="H161" i="4"/>
  <c r="G161" i="4"/>
  <c r="F161" i="4"/>
  <c r="E161" i="4"/>
  <c r="C161" i="4"/>
  <c r="O160" i="4"/>
  <c r="N160" i="4"/>
  <c r="L160" i="4"/>
  <c r="K160" i="4"/>
  <c r="I160" i="4"/>
  <c r="H160" i="4"/>
  <c r="G160" i="4"/>
  <c r="F160" i="4"/>
  <c r="E160" i="4"/>
  <c r="C160" i="4"/>
  <c r="V159" i="4"/>
  <c r="T159" i="4"/>
  <c r="O159" i="4"/>
  <c r="N159" i="4"/>
  <c r="M159" i="4"/>
  <c r="W159" i="4" s="1" a="1"/>
  <c r="W159" i="4" s="1"/>
  <c r="J159" i="4"/>
  <c r="G159" i="4"/>
  <c r="F159" i="4"/>
  <c r="E159" i="4"/>
  <c r="C159" i="4"/>
  <c r="O158" i="4"/>
  <c r="N158" i="4"/>
  <c r="L158" i="4"/>
  <c r="K158" i="4"/>
  <c r="I158" i="4"/>
  <c r="H158" i="4"/>
  <c r="G158" i="4"/>
  <c r="F158" i="4"/>
  <c r="E158" i="4"/>
  <c r="C158" i="4"/>
  <c r="V157" i="4"/>
  <c r="U157" i="4" a="1"/>
  <c r="U157" i="4" s="1"/>
  <c r="T157" i="4"/>
  <c r="O157" i="4"/>
  <c r="N157" i="4"/>
  <c r="M157" i="4"/>
  <c r="W157" i="4" s="1" a="1"/>
  <c r="W157" i="4" s="1"/>
  <c r="J157" i="4"/>
  <c r="G157" i="4"/>
  <c r="F157" i="4"/>
  <c r="E157" i="4"/>
  <c r="C157" i="4"/>
  <c r="O156" i="4"/>
  <c r="N156" i="4"/>
  <c r="L156" i="4"/>
  <c r="K156" i="4"/>
  <c r="I156" i="4"/>
  <c r="H156" i="4"/>
  <c r="G156" i="4"/>
  <c r="F156" i="4"/>
  <c r="E156" i="4"/>
  <c r="C156" i="4"/>
  <c r="O155" i="4"/>
  <c r="N155" i="4"/>
  <c r="L155" i="4"/>
  <c r="K155" i="4"/>
  <c r="I155" i="4"/>
  <c r="H155" i="4"/>
  <c r="G155" i="4"/>
  <c r="F155" i="4"/>
  <c r="E155" i="4"/>
  <c r="C155" i="4"/>
  <c r="U154" i="4" a="1"/>
  <c r="U154" i="4" s="1"/>
  <c r="T154" i="4"/>
  <c r="O154" i="4"/>
  <c r="N154" i="4"/>
  <c r="M154" i="4"/>
  <c r="V154" i="4" s="1"/>
  <c r="J154" i="4"/>
  <c r="G154" i="4"/>
  <c r="F154" i="4"/>
  <c r="E154" i="4"/>
  <c r="C154" i="4"/>
  <c r="O153" i="4"/>
  <c r="N153" i="4"/>
  <c r="L153" i="4"/>
  <c r="K153" i="4"/>
  <c r="I153" i="4"/>
  <c r="H153" i="4"/>
  <c r="G153" i="4"/>
  <c r="F153" i="4"/>
  <c r="E153" i="4"/>
  <c r="C153" i="4"/>
  <c r="V152" i="4"/>
  <c r="T152" i="4"/>
  <c r="O152" i="4"/>
  <c r="N152" i="4"/>
  <c r="M152" i="4"/>
  <c r="W152" i="4" s="1" a="1"/>
  <c r="W152" i="4" s="1"/>
  <c r="J152" i="4"/>
  <c r="U152" i="4" s="1" a="1"/>
  <c r="U152" i="4" s="1"/>
  <c r="G152" i="4"/>
  <c r="F152" i="4"/>
  <c r="E152" i="4"/>
  <c r="C152" i="4"/>
  <c r="V151" i="4"/>
  <c r="U151" i="4" a="1"/>
  <c r="U151" i="4" s="1"/>
  <c r="T151" i="4"/>
  <c r="O151" i="4"/>
  <c r="N151" i="4"/>
  <c r="M151" i="4"/>
  <c r="W151" i="4" s="1" a="1"/>
  <c r="W151" i="4" s="1"/>
  <c r="J151" i="4"/>
  <c r="G151" i="4"/>
  <c r="F151" i="4"/>
  <c r="E151" i="4"/>
  <c r="C151" i="4"/>
  <c r="V150" i="4"/>
  <c r="U150" i="4" a="1"/>
  <c r="U150" i="4" s="1"/>
  <c r="T150" i="4"/>
  <c r="O150" i="4"/>
  <c r="N150" i="4"/>
  <c r="M150" i="4"/>
  <c r="W150" i="4" s="1" a="1"/>
  <c r="W150" i="4" s="1"/>
  <c r="J150" i="4"/>
  <c r="G150" i="4"/>
  <c r="F150" i="4"/>
  <c r="E150" i="4"/>
  <c r="C150" i="4"/>
  <c r="O149" i="4"/>
  <c r="N149" i="4"/>
  <c r="L149" i="4"/>
  <c r="K149" i="4"/>
  <c r="I149" i="4"/>
  <c r="H149" i="4"/>
  <c r="G149" i="4"/>
  <c r="F149" i="4"/>
  <c r="E149" i="4"/>
  <c r="C149" i="4"/>
  <c r="O148" i="4"/>
  <c r="N148" i="4"/>
  <c r="L148" i="4"/>
  <c r="K148" i="4"/>
  <c r="I148" i="4"/>
  <c r="H148" i="4"/>
  <c r="G148" i="4"/>
  <c r="F148" i="4"/>
  <c r="E148" i="4"/>
  <c r="C148" i="4"/>
  <c r="O147" i="4"/>
  <c r="N147" i="4"/>
  <c r="L147" i="4"/>
  <c r="K147" i="4"/>
  <c r="I147" i="4"/>
  <c r="H147" i="4"/>
  <c r="G147" i="4"/>
  <c r="F147" i="4"/>
  <c r="E147" i="4"/>
  <c r="C147" i="4"/>
  <c r="W146" i="4" a="1"/>
  <c r="W146" i="4" s="1"/>
  <c r="V146" i="4"/>
  <c r="T146" i="4"/>
  <c r="O146" i="4"/>
  <c r="N146" i="4"/>
  <c r="M146" i="4"/>
  <c r="J146" i="4"/>
  <c r="G146" i="4"/>
  <c r="F146" i="4"/>
  <c r="E146" i="4"/>
  <c r="C146" i="4"/>
  <c r="W145" i="4" a="1"/>
  <c r="W145" i="4" s="1"/>
  <c r="P145" i="4"/>
  <c r="R145" i="4" s="1"/>
  <c r="M145" i="4"/>
  <c r="V145" i="4" s="1"/>
  <c r="J145" i="4"/>
  <c r="G145" i="4"/>
  <c r="F145" i="4"/>
  <c r="E145" i="4"/>
  <c r="C145" i="4"/>
  <c r="V144" i="4"/>
  <c r="T144" i="4"/>
  <c r="O144" i="4"/>
  <c r="N144" i="4"/>
  <c r="M144" i="4"/>
  <c r="W144" i="4" s="1" a="1"/>
  <c r="W144" i="4" s="1"/>
  <c r="J144" i="4"/>
  <c r="G144" i="4"/>
  <c r="F144" i="4"/>
  <c r="E144" i="4"/>
  <c r="C144" i="4"/>
  <c r="O143" i="4"/>
  <c r="N143" i="4"/>
  <c r="L143" i="4"/>
  <c r="K143" i="4"/>
  <c r="J143" i="4"/>
  <c r="G143" i="4"/>
  <c r="F143" i="4"/>
  <c r="E143" i="4"/>
  <c r="C143" i="4"/>
  <c r="O142" i="4"/>
  <c r="N142" i="4"/>
  <c r="L142" i="4"/>
  <c r="K142" i="4"/>
  <c r="I142" i="4"/>
  <c r="H142" i="4"/>
  <c r="G142" i="4"/>
  <c r="F142" i="4"/>
  <c r="E142" i="4"/>
  <c r="C142" i="4"/>
  <c r="U141" i="4" a="1"/>
  <c r="U141" i="4" s="1"/>
  <c r="T141" i="4"/>
  <c r="O141" i="4"/>
  <c r="N141" i="4"/>
  <c r="L141" i="4"/>
  <c r="K141" i="4"/>
  <c r="J141" i="4"/>
  <c r="G141" i="4"/>
  <c r="F141" i="4"/>
  <c r="E141" i="4"/>
  <c r="C141" i="4"/>
  <c r="O140" i="4"/>
  <c r="N140" i="4"/>
  <c r="L140" i="4"/>
  <c r="K140" i="4"/>
  <c r="I140" i="4"/>
  <c r="H140" i="4"/>
  <c r="G140" i="4"/>
  <c r="F140" i="4"/>
  <c r="E140" i="4"/>
  <c r="C140" i="4"/>
  <c r="O139" i="4"/>
  <c r="N139" i="4"/>
  <c r="L139" i="4"/>
  <c r="K139" i="4"/>
  <c r="I139" i="4"/>
  <c r="H139" i="4"/>
  <c r="G139" i="4"/>
  <c r="F139" i="4"/>
  <c r="E139" i="4"/>
  <c r="C139" i="4"/>
  <c r="U138" i="4" a="1"/>
  <c r="U138" i="4" s="1"/>
  <c r="T138" i="4"/>
  <c r="O138" i="4"/>
  <c r="N138" i="4"/>
  <c r="L138" i="4"/>
  <c r="K138" i="4"/>
  <c r="J138" i="4"/>
  <c r="G138" i="4"/>
  <c r="F138" i="4"/>
  <c r="E138" i="4"/>
  <c r="C138" i="4"/>
  <c r="O137" i="4"/>
  <c r="N137" i="4"/>
  <c r="L137" i="4"/>
  <c r="K137" i="4"/>
  <c r="I137" i="4"/>
  <c r="H137" i="4"/>
  <c r="G137" i="4"/>
  <c r="F137" i="4"/>
  <c r="E137" i="4"/>
  <c r="C137" i="4"/>
  <c r="T136" i="4"/>
  <c r="O136" i="4"/>
  <c r="N136" i="4"/>
  <c r="M136" i="4"/>
  <c r="J136" i="4"/>
  <c r="G136" i="4"/>
  <c r="F136" i="4"/>
  <c r="E136" i="4"/>
  <c r="C136" i="4"/>
  <c r="T135" i="4"/>
  <c r="O135" i="4"/>
  <c r="N135" i="4"/>
  <c r="L135" i="4"/>
  <c r="K135" i="4"/>
  <c r="J135" i="4"/>
  <c r="U135" i="4" s="1" a="1"/>
  <c r="U135" i="4" s="1"/>
  <c r="G135" i="4"/>
  <c r="F135" i="4"/>
  <c r="E135" i="4"/>
  <c r="C135" i="4"/>
  <c r="O134" i="4"/>
  <c r="N134" i="4"/>
  <c r="L134" i="4"/>
  <c r="K134" i="4"/>
  <c r="I134" i="4"/>
  <c r="H134" i="4"/>
  <c r="G134" i="4"/>
  <c r="F134" i="4"/>
  <c r="E134" i="4"/>
  <c r="C134" i="4"/>
  <c r="V133" i="4"/>
  <c r="T133" i="4"/>
  <c r="O133" i="4"/>
  <c r="N133" i="4"/>
  <c r="M133" i="4"/>
  <c r="W133" i="4" s="1" a="1"/>
  <c r="W133" i="4" s="1"/>
  <c r="J133" i="4"/>
  <c r="G133" i="4"/>
  <c r="F133" i="4"/>
  <c r="E133" i="4"/>
  <c r="C133" i="4"/>
  <c r="T132" i="4"/>
  <c r="O132" i="4"/>
  <c r="N132" i="4"/>
  <c r="L132" i="4"/>
  <c r="K132" i="4"/>
  <c r="J132" i="4"/>
  <c r="U132" i="4" s="1" a="1"/>
  <c r="U132" i="4" s="1"/>
  <c r="G132" i="4"/>
  <c r="F132" i="4"/>
  <c r="E132" i="4"/>
  <c r="C132" i="4"/>
  <c r="T131" i="4"/>
  <c r="O131" i="4"/>
  <c r="N131" i="4"/>
  <c r="L131" i="4"/>
  <c r="K131" i="4"/>
  <c r="I131" i="4"/>
  <c r="H131" i="4"/>
  <c r="G131" i="4"/>
  <c r="F131" i="4"/>
  <c r="E131" i="4"/>
  <c r="C131" i="4"/>
  <c r="O130" i="4"/>
  <c r="N130" i="4"/>
  <c r="L130" i="4"/>
  <c r="K130" i="4"/>
  <c r="I130" i="4"/>
  <c r="H130" i="4"/>
  <c r="G130" i="4"/>
  <c r="F130" i="4"/>
  <c r="E130" i="4"/>
  <c r="C130" i="4"/>
  <c r="O129" i="4"/>
  <c r="N129" i="4"/>
  <c r="L129" i="4"/>
  <c r="K129" i="4"/>
  <c r="I129" i="4"/>
  <c r="H129" i="4"/>
  <c r="G129" i="4"/>
  <c r="F129" i="4"/>
  <c r="E129" i="4"/>
  <c r="C129" i="4"/>
  <c r="O128" i="4"/>
  <c r="N128" i="4"/>
  <c r="L128" i="4"/>
  <c r="K128" i="4"/>
  <c r="I128" i="4"/>
  <c r="H128" i="4"/>
  <c r="G128" i="4"/>
  <c r="F128" i="4"/>
  <c r="E128" i="4"/>
  <c r="C128" i="4"/>
  <c r="U127" i="4" a="1"/>
  <c r="U127" i="4" s="1"/>
  <c r="T127" i="4"/>
  <c r="O127" i="4"/>
  <c r="N127" i="4"/>
  <c r="L127" i="4"/>
  <c r="K127" i="4"/>
  <c r="J127" i="4"/>
  <c r="G127" i="4"/>
  <c r="F127" i="4"/>
  <c r="E127" i="4"/>
  <c r="C127" i="4"/>
  <c r="O126" i="4"/>
  <c r="N126" i="4"/>
  <c r="L126" i="4"/>
  <c r="K126" i="4"/>
  <c r="M126" i="4" s="1"/>
  <c r="I126" i="4"/>
  <c r="H126" i="4"/>
  <c r="G126" i="4"/>
  <c r="F126" i="4"/>
  <c r="E126" i="4"/>
  <c r="C126" i="4"/>
  <c r="O125" i="4"/>
  <c r="N125" i="4"/>
  <c r="L125" i="4"/>
  <c r="K125" i="4"/>
  <c r="J125" i="4"/>
  <c r="U125" i="4" s="1" a="1"/>
  <c r="U125" i="4" s="1"/>
  <c r="G125" i="4"/>
  <c r="F125" i="4"/>
  <c r="E125" i="4"/>
  <c r="C125" i="4"/>
  <c r="U124" i="4" a="1"/>
  <c r="U124" i="4" s="1"/>
  <c r="T124" i="4"/>
  <c r="O124" i="4"/>
  <c r="N124" i="4"/>
  <c r="M124" i="4"/>
  <c r="W124" i="4" s="1" a="1"/>
  <c r="W124" i="4" s="1"/>
  <c r="J124" i="4"/>
  <c r="G124" i="4"/>
  <c r="F124" i="4"/>
  <c r="E124" i="4"/>
  <c r="C124" i="4"/>
  <c r="O123" i="4"/>
  <c r="N123" i="4"/>
  <c r="L123" i="4"/>
  <c r="K123" i="4"/>
  <c r="I123" i="4"/>
  <c r="H123" i="4"/>
  <c r="G123" i="4"/>
  <c r="F123" i="4"/>
  <c r="E123" i="4"/>
  <c r="C123" i="4"/>
  <c r="O122" i="4"/>
  <c r="N122" i="4"/>
  <c r="L122" i="4"/>
  <c r="K122" i="4"/>
  <c r="I122" i="4"/>
  <c r="H122" i="4"/>
  <c r="G122" i="4"/>
  <c r="F122" i="4"/>
  <c r="E122" i="4"/>
  <c r="C122" i="4"/>
  <c r="O121" i="4"/>
  <c r="N121" i="4"/>
  <c r="L121" i="4"/>
  <c r="K121" i="4"/>
  <c r="I121" i="4"/>
  <c r="H121" i="4"/>
  <c r="G121" i="4"/>
  <c r="F121" i="4"/>
  <c r="E121" i="4"/>
  <c r="C121" i="4"/>
  <c r="O120" i="4"/>
  <c r="N120" i="4"/>
  <c r="L120" i="4"/>
  <c r="K120" i="4"/>
  <c r="I120" i="4"/>
  <c r="H120" i="4"/>
  <c r="G120" i="4"/>
  <c r="F120" i="4"/>
  <c r="E120" i="4"/>
  <c r="C120" i="4"/>
  <c r="O119" i="4"/>
  <c r="N119" i="4"/>
  <c r="L119" i="4"/>
  <c r="K119" i="4"/>
  <c r="I119" i="4"/>
  <c r="H119" i="4"/>
  <c r="G119" i="4"/>
  <c r="F119" i="4"/>
  <c r="E119" i="4"/>
  <c r="C119" i="4"/>
  <c r="O118" i="4"/>
  <c r="N118" i="4"/>
  <c r="L118" i="4"/>
  <c r="K118" i="4"/>
  <c r="I118" i="4"/>
  <c r="H118" i="4"/>
  <c r="G118" i="4"/>
  <c r="F118" i="4"/>
  <c r="E118" i="4"/>
  <c r="C118" i="4"/>
  <c r="O117" i="4"/>
  <c r="N117" i="4"/>
  <c r="L117" i="4"/>
  <c r="K117" i="4"/>
  <c r="I117" i="4"/>
  <c r="H117" i="4"/>
  <c r="G117" i="4"/>
  <c r="F117" i="4"/>
  <c r="E117" i="4"/>
  <c r="C117" i="4"/>
  <c r="W116" i="4" a="1"/>
  <c r="W116" i="4" s="1"/>
  <c r="R116" i="4"/>
  <c r="P116" i="4"/>
  <c r="M116" i="4"/>
  <c r="V116" i="4" s="1"/>
  <c r="J116" i="4"/>
  <c r="U116" i="4" s="1" a="1"/>
  <c r="U116" i="4" s="1"/>
  <c r="G116" i="4"/>
  <c r="F116" i="4"/>
  <c r="E116" i="4"/>
  <c r="C116" i="4"/>
  <c r="O115" i="4"/>
  <c r="N115" i="4"/>
  <c r="L115" i="4"/>
  <c r="K115" i="4"/>
  <c r="I115" i="4"/>
  <c r="H115" i="4"/>
  <c r="G115" i="4"/>
  <c r="F115" i="4"/>
  <c r="E115" i="4"/>
  <c r="C115" i="4"/>
  <c r="O114" i="4"/>
  <c r="N114" i="4"/>
  <c r="L114" i="4"/>
  <c r="K114" i="4"/>
  <c r="I114" i="4"/>
  <c r="H114" i="4"/>
  <c r="G114" i="4"/>
  <c r="F114" i="4"/>
  <c r="E114" i="4"/>
  <c r="C114" i="4"/>
  <c r="V113" i="4"/>
  <c r="T113" i="4"/>
  <c r="O113" i="4"/>
  <c r="N113" i="4"/>
  <c r="M113" i="4"/>
  <c r="W113" i="4" s="1" a="1"/>
  <c r="W113" i="4" s="1"/>
  <c r="J113" i="4"/>
  <c r="G113" i="4"/>
  <c r="F113" i="4"/>
  <c r="E113" i="4"/>
  <c r="C113" i="4"/>
  <c r="O112" i="4"/>
  <c r="N112" i="4"/>
  <c r="L112" i="4"/>
  <c r="K112" i="4"/>
  <c r="I112" i="4"/>
  <c r="H112" i="4"/>
  <c r="G112" i="4"/>
  <c r="F112" i="4"/>
  <c r="E112" i="4"/>
  <c r="C112" i="4"/>
  <c r="V111" i="4"/>
  <c r="T111" i="4"/>
  <c r="O111" i="4"/>
  <c r="N111" i="4"/>
  <c r="M111" i="4"/>
  <c r="W111" i="4" s="1" a="1"/>
  <c r="W111" i="4" s="1"/>
  <c r="J111" i="4"/>
  <c r="U111" i="4" s="1" a="1"/>
  <c r="U111" i="4" s="1"/>
  <c r="G111" i="4"/>
  <c r="F111" i="4"/>
  <c r="E111" i="4"/>
  <c r="C111" i="4"/>
  <c r="O110" i="4"/>
  <c r="N110" i="4"/>
  <c r="L110" i="4"/>
  <c r="K110" i="4"/>
  <c r="J110" i="4"/>
  <c r="U110" i="4" s="1" a="1"/>
  <c r="U110" i="4" s="1"/>
  <c r="G110" i="4"/>
  <c r="F110" i="4"/>
  <c r="E110" i="4"/>
  <c r="C110" i="4"/>
  <c r="O109" i="4"/>
  <c r="N109" i="4"/>
  <c r="L109" i="4"/>
  <c r="K109" i="4"/>
  <c r="J109" i="4"/>
  <c r="U109" i="4" s="1" a="1"/>
  <c r="U109" i="4" s="1"/>
  <c r="G109" i="4"/>
  <c r="F109" i="4"/>
  <c r="E109" i="4"/>
  <c r="C109" i="4"/>
  <c r="O108" i="4"/>
  <c r="N108" i="4"/>
  <c r="L108" i="4"/>
  <c r="K108" i="4"/>
  <c r="I108" i="4"/>
  <c r="H108" i="4"/>
  <c r="G108" i="4"/>
  <c r="F108" i="4"/>
  <c r="E108" i="4"/>
  <c r="C108" i="4"/>
  <c r="O107" i="4"/>
  <c r="N107" i="4"/>
  <c r="L107" i="4"/>
  <c r="K107" i="4"/>
  <c r="I107" i="4"/>
  <c r="H107" i="4"/>
  <c r="G107" i="4"/>
  <c r="F107" i="4"/>
  <c r="E107" i="4"/>
  <c r="C107" i="4"/>
  <c r="O106" i="4"/>
  <c r="N106" i="4"/>
  <c r="L106" i="4"/>
  <c r="K106" i="4"/>
  <c r="M106" i="4" s="1"/>
  <c r="V106" i="4" s="1"/>
  <c r="I106" i="4"/>
  <c r="H106" i="4"/>
  <c r="G106" i="4"/>
  <c r="F106" i="4"/>
  <c r="E106" i="4"/>
  <c r="C106" i="4"/>
  <c r="O105" i="4"/>
  <c r="N105" i="4"/>
  <c r="L105" i="4"/>
  <c r="K105" i="4"/>
  <c r="I105" i="4"/>
  <c r="H105" i="4"/>
  <c r="G105" i="4"/>
  <c r="F105" i="4"/>
  <c r="E105" i="4"/>
  <c r="C105" i="4"/>
  <c r="O104" i="4"/>
  <c r="N104" i="4"/>
  <c r="L104" i="4"/>
  <c r="K104" i="4"/>
  <c r="I104" i="4"/>
  <c r="H104" i="4"/>
  <c r="G104" i="4"/>
  <c r="F104" i="4"/>
  <c r="E104" i="4"/>
  <c r="C104" i="4"/>
  <c r="O103" i="4"/>
  <c r="N103" i="4"/>
  <c r="L103" i="4"/>
  <c r="K103" i="4"/>
  <c r="I103" i="4"/>
  <c r="H103" i="4"/>
  <c r="G103" i="4"/>
  <c r="F103" i="4"/>
  <c r="E103" i="4"/>
  <c r="C103" i="4"/>
  <c r="O102" i="4"/>
  <c r="N102" i="4"/>
  <c r="L102" i="4"/>
  <c r="K102" i="4"/>
  <c r="J102" i="4"/>
  <c r="G102" i="4"/>
  <c r="F102" i="4"/>
  <c r="E102" i="4"/>
  <c r="C102" i="4"/>
  <c r="O101" i="4"/>
  <c r="N101" i="4"/>
  <c r="L101" i="4"/>
  <c r="K101" i="4"/>
  <c r="I101" i="4"/>
  <c r="H101" i="4"/>
  <c r="G101" i="4"/>
  <c r="F101" i="4"/>
  <c r="E101" i="4"/>
  <c r="C101" i="4"/>
  <c r="O100" i="4"/>
  <c r="N100" i="4"/>
  <c r="L100" i="4"/>
  <c r="K100" i="4"/>
  <c r="J100" i="4"/>
  <c r="G100" i="4"/>
  <c r="F100" i="4"/>
  <c r="E100" i="4"/>
  <c r="C100" i="4"/>
  <c r="V99" i="4"/>
  <c r="T99" i="4"/>
  <c r="O99" i="4"/>
  <c r="N99" i="4"/>
  <c r="M99" i="4"/>
  <c r="W99" i="4" s="1" a="1"/>
  <c r="W99" i="4" s="1"/>
  <c r="J99" i="4"/>
  <c r="G99" i="4"/>
  <c r="F99" i="4"/>
  <c r="E99" i="4"/>
  <c r="C99" i="4"/>
  <c r="O98" i="4"/>
  <c r="N98" i="4"/>
  <c r="L98" i="4"/>
  <c r="K98" i="4"/>
  <c r="I98" i="4"/>
  <c r="H98" i="4"/>
  <c r="G98" i="4"/>
  <c r="F98" i="4"/>
  <c r="E98" i="4"/>
  <c r="C98" i="4"/>
  <c r="T97" i="4"/>
  <c r="O97" i="4"/>
  <c r="N97" i="4"/>
  <c r="L97" i="4"/>
  <c r="K97" i="4"/>
  <c r="J97" i="4"/>
  <c r="G97" i="4"/>
  <c r="F97" i="4"/>
  <c r="E97" i="4"/>
  <c r="C97" i="4"/>
  <c r="V96" i="4"/>
  <c r="T96" i="4"/>
  <c r="O96" i="4"/>
  <c r="N96" i="4"/>
  <c r="M96" i="4"/>
  <c r="W96" i="4" s="1" a="1"/>
  <c r="W96" i="4" s="1"/>
  <c r="J96" i="4"/>
  <c r="U96" i="4" s="1" a="1"/>
  <c r="U96" i="4" s="1"/>
  <c r="G96" i="4"/>
  <c r="F96" i="4"/>
  <c r="E96" i="4"/>
  <c r="C96" i="4"/>
  <c r="O95" i="4"/>
  <c r="N95" i="4"/>
  <c r="L95" i="4"/>
  <c r="K95" i="4"/>
  <c r="I95" i="4"/>
  <c r="H95" i="4"/>
  <c r="G95" i="4"/>
  <c r="F95" i="4"/>
  <c r="E95" i="4"/>
  <c r="C95" i="4"/>
  <c r="T94" i="4"/>
  <c r="O94" i="4"/>
  <c r="N94" i="4"/>
  <c r="L94" i="4"/>
  <c r="K94" i="4"/>
  <c r="J94" i="4"/>
  <c r="U94" i="4" s="1" a="1"/>
  <c r="U94" i="4" s="1"/>
  <c r="G94" i="4"/>
  <c r="F94" i="4"/>
  <c r="E94" i="4"/>
  <c r="C94" i="4"/>
  <c r="O93" i="4"/>
  <c r="N93" i="4"/>
  <c r="L93" i="4"/>
  <c r="K93" i="4"/>
  <c r="I93" i="4"/>
  <c r="H93" i="4"/>
  <c r="G93" i="4"/>
  <c r="F93" i="4"/>
  <c r="E93" i="4"/>
  <c r="C93" i="4"/>
  <c r="W92" i="4" a="1"/>
  <c r="W92" i="4" s="1"/>
  <c r="T92" i="4"/>
  <c r="O92" i="4"/>
  <c r="N92" i="4"/>
  <c r="M92" i="4"/>
  <c r="V92" i="4" s="1"/>
  <c r="J92" i="4"/>
  <c r="U92" i="4" s="1" a="1"/>
  <c r="U92" i="4" s="1"/>
  <c r="G92" i="4"/>
  <c r="F92" i="4"/>
  <c r="E92" i="4"/>
  <c r="C92" i="4"/>
  <c r="O91" i="4"/>
  <c r="N91" i="4"/>
  <c r="L91" i="4"/>
  <c r="K91" i="4"/>
  <c r="J91" i="4"/>
  <c r="G91" i="4"/>
  <c r="F91" i="4"/>
  <c r="E91" i="4"/>
  <c r="C91" i="4"/>
  <c r="O90" i="4"/>
  <c r="N90" i="4"/>
  <c r="L90" i="4"/>
  <c r="K90" i="4"/>
  <c r="I90" i="4"/>
  <c r="H90" i="4"/>
  <c r="G90" i="4"/>
  <c r="F90" i="4"/>
  <c r="E90" i="4"/>
  <c r="C90" i="4"/>
  <c r="O89" i="4"/>
  <c r="N89" i="4"/>
  <c r="L89" i="4"/>
  <c r="K89" i="4"/>
  <c r="I89" i="4"/>
  <c r="H89" i="4"/>
  <c r="G89" i="4"/>
  <c r="F89" i="4"/>
  <c r="E89" i="4"/>
  <c r="C89" i="4"/>
  <c r="O88" i="4"/>
  <c r="N88" i="4"/>
  <c r="L88" i="4"/>
  <c r="K88" i="4"/>
  <c r="I88" i="4"/>
  <c r="H88" i="4"/>
  <c r="G88" i="4"/>
  <c r="F88" i="4"/>
  <c r="E88" i="4"/>
  <c r="C88" i="4"/>
  <c r="O87" i="4"/>
  <c r="N87" i="4"/>
  <c r="L87" i="4"/>
  <c r="K87" i="4"/>
  <c r="I87" i="4"/>
  <c r="H87" i="4"/>
  <c r="G87" i="4"/>
  <c r="F87" i="4"/>
  <c r="E87" i="4"/>
  <c r="C87" i="4"/>
  <c r="O86" i="4"/>
  <c r="N86" i="4"/>
  <c r="L86" i="4"/>
  <c r="K86" i="4"/>
  <c r="I86" i="4"/>
  <c r="H86" i="4"/>
  <c r="G86" i="4"/>
  <c r="F86" i="4"/>
  <c r="E86" i="4"/>
  <c r="C86" i="4"/>
  <c r="O85" i="4"/>
  <c r="N85" i="4"/>
  <c r="L85" i="4"/>
  <c r="K85" i="4"/>
  <c r="I85" i="4"/>
  <c r="H85" i="4"/>
  <c r="G85" i="4"/>
  <c r="F85" i="4"/>
  <c r="E85" i="4"/>
  <c r="C85" i="4"/>
  <c r="O84" i="4"/>
  <c r="N84" i="4"/>
  <c r="L84" i="4"/>
  <c r="K84" i="4"/>
  <c r="I84" i="4"/>
  <c r="H84" i="4"/>
  <c r="G84" i="4"/>
  <c r="F84" i="4"/>
  <c r="E84" i="4"/>
  <c r="C84" i="4"/>
  <c r="O83" i="4"/>
  <c r="N83" i="4"/>
  <c r="L83" i="4"/>
  <c r="K83" i="4"/>
  <c r="J83" i="4"/>
  <c r="G83" i="4"/>
  <c r="F83" i="4"/>
  <c r="E83" i="4"/>
  <c r="C83" i="4"/>
  <c r="U82" i="4" a="1"/>
  <c r="U82" i="4" s="1"/>
  <c r="O82" i="4"/>
  <c r="N82" i="4"/>
  <c r="L82" i="4"/>
  <c r="K82" i="4"/>
  <c r="J82" i="4"/>
  <c r="T82" i="4" s="1"/>
  <c r="G82" i="4"/>
  <c r="F82" i="4"/>
  <c r="E82" i="4"/>
  <c r="C82" i="4"/>
  <c r="V81" i="4"/>
  <c r="T81" i="4"/>
  <c r="O81" i="4"/>
  <c r="N81" i="4"/>
  <c r="M81" i="4"/>
  <c r="W81" i="4" s="1" a="1"/>
  <c r="W81" i="4" s="1"/>
  <c r="J81" i="4"/>
  <c r="G81" i="4"/>
  <c r="F81" i="4"/>
  <c r="E81" i="4"/>
  <c r="C81" i="4"/>
  <c r="O80" i="4"/>
  <c r="N80" i="4"/>
  <c r="L80" i="4"/>
  <c r="K80" i="4"/>
  <c r="I80" i="4"/>
  <c r="H80" i="4"/>
  <c r="G80" i="4"/>
  <c r="F80" i="4"/>
  <c r="E80" i="4"/>
  <c r="C80" i="4"/>
  <c r="O79" i="4"/>
  <c r="N79" i="4"/>
  <c r="L79" i="4"/>
  <c r="K79" i="4"/>
  <c r="I79" i="4"/>
  <c r="H79" i="4"/>
  <c r="G79" i="4"/>
  <c r="F79" i="4"/>
  <c r="E79" i="4"/>
  <c r="C79" i="4"/>
  <c r="O78" i="4"/>
  <c r="N78" i="4"/>
  <c r="L78" i="4"/>
  <c r="K78" i="4"/>
  <c r="I78" i="4"/>
  <c r="H78" i="4"/>
  <c r="G78" i="4"/>
  <c r="F78" i="4"/>
  <c r="E78" i="4"/>
  <c r="C78" i="4"/>
  <c r="U77" i="4" a="1"/>
  <c r="U77" i="4" s="1"/>
  <c r="T77" i="4"/>
  <c r="O77" i="4"/>
  <c r="N77" i="4"/>
  <c r="L77" i="4"/>
  <c r="K77" i="4"/>
  <c r="J77" i="4"/>
  <c r="G77" i="4"/>
  <c r="F77" i="4"/>
  <c r="E77" i="4"/>
  <c r="C77" i="4"/>
  <c r="T76" i="4"/>
  <c r="O76" i="4"/>
  <c r="N76" i="4"/>
  <c r="L76" i="4"/>
  <c r="K76" i="4"/>
  <c r="J76" i="4"/>
  <c r="G76" i="4"/>
  <c r="F76" i="4"/>
  <c r="E76" i="4"/>
  <c r="C76" i="4"/>
  <c r="O75" i="4"/>
  <c r="N75" i="4"/>
  <c r="L75" i="4"/>
  <c r="K75" i="4"/>
  <c r="J75" i="4"/>
  <c r="G75" i="4"/>
  <c r="F75" i="4"/>
  <c r="E75" i="4"/>
  <c r="C75" i="4"/>
  <c r="O74" i="4"/>
  <c r="N74" i="4"/>
  <c r="L74" i="4"/>
  <c r="K74" i="4"/>
  <c r="I74" i="4"/>
  <c r="H74" i="4"/>
  <c r="G74" i="4"/>
  <c r="F74" i="4"/>
  <c r="E74" i="4"/>
  <c r="C74" i="4"/>
  <c r="T73" i="4"/>
  <c r="O73" i="4"/>
  <c r="N73" i="4"/>
  <c r="M73" i="4"/>
  <c r="W73" i="4" s="1" a="1"/>
  <c r="W73" i="4" s="1"/>
  <c r="J73" i="4"/>
  <c r="U73" i="4" s="1" a="1"/>
  <c r="U73" i="4" s="1"/>
  <c r="G73" i="4"/>
  <c r="F73" i="4"/>
  <c r="E73" i="4"/>
  <c r="C73" i="4"/>
  <c r="T72" i="4"/>
  <c r="O72" i="4"/>
  <c r="N72" i="4"/>
  <c r="P72" i="4" s="1"/>
  <c r="R72" i="4" s="1"/>
  <c r="L72" i="4"/>
  <c r="K72" i="4"/>
  <c r="J72" i="4"/>
  <c r="G72" i="4"/>
  <c r="F72" i="4"/>
  <c r="E72" i="4"/>
  <c r="C72" i="4"/>
  <c r="V71" i="4"/>
  <c r="T71" i="4"/>
  <c r="O71" i="4"/>
  <c r="N71" i="4"/>
  <c r="M71" i="4"/>
  <c r="W71" i="4" s="1" a="1"/>
  <c r="W71" i="4" s="1"/>
  <c r="J71" i="4"/>
  <c r="U71" i="4" s="1" a="1"/>
  <c r="U71" i="4" s="1"/>
  <c r="G71" i="4"/>
  <c r="F71" i="4"/>
  <c r="E71" i="4"/>
  <c r="C71" i="4"/>
  <c r="O70" i="4"/>
  <c r="N70" i="4"/>
  <c r="L70" i="4"/>
  <c r="K70" i="4"/>
  <c r="I70" i="4"/>
  <c r="H70" i="4"/>
  <c r="G70" i="4"/>
  <c r="F70" i="4"/>
  <c r="E70" i="4"/>
  <c r="C70" i="4"/>
  <c r="V69" i="4"/>
  <c r="T69" i="4"/>
  <c r="O69" i="4"/>
  <c r="N69" i="4"/>
  <c r="M69" i="4"/>
  <c r="W69" i="4" s="1" a="1"/>
  <c r="W69" i="4" s="1"/>
  <c r="J69" i="4"/>
  <c r="G69" i="4"/>
  <c r="F69" i="4"/>
  <c r="E69" i="4"/>
  <c r="C69" i="4"/>
  <c r="O68" i="4"/>
  <c r="N68" i="4"/>
  <c r="L68" i="4"/>
  <c r="K68" i="4"/>
  <c r="I68" i="4"/>
  <c r="H68" i="4"/>
  <c r="G68" i="4"/>
  <c r="F68" i="4"/>
  <c r="E68" i="4"/>
  <c r="C68" i="4"/>
  <c r="O67" i="4"/>
  <c r="N67" i="4"/>
  <c r="L67" i="4"/>
  <c r="K67" i="4"/>
  <c r="I67" i="4"/>
  <c r="H67" i="4"/>
  <c r="G67" i="4"/>
  <c r="F67" i="4"/>
  <c r="E67" i="4"/>
  <c r="C67" i="4"/>
  <c r="O66" i="4"/>
  <c r="N66" i="4"/>
  <c r="L66" i="4"/>
  <c r="K66" i="4"/>
  <c r="I66" i="4"/>
  <c r="H66" i="4"/>
  <c r="G66" i="4"/>
  <c r="F66" i="4"/>
  <c r="E66" i="4"/>
  <c r="C66" i="4"/>
  <c r="O65" i="4"/>
  <c r="N65" i="4"/>
  <c r="L65" i="4"/>
  <c r="K65" i="4"/>
  <c r="I65" i="4"/>
  <c r="H65" i="4"/>
  <c r="G65" i="4"/>
  <c r="F65" i="4"/>
  <c r="E65" i="4"/>
  <c r="C65" i="4"/>
  <c r="O64" i="4"/>
  <c r="N64" i="4"/>
  <c r="L64" i="4"/>
  <c r="K64" i="4"/>
  <c r="I64" i="4"/>
  <c r="H64" i="4"/>
  <c r="G64" i="4"/>
  <c r="F64" i="4"/>
  <c r="E64" i="4"/>
  <c r="C64" i="4"/>
  <c r="U63" i="4" a="1"/>
  <c r="U63" i="4" s="1"/>
  <c r="T63" i="4"/>
  <c r="O63" i="4"/>
  <c r="N63" i="4"/>
  <c r="L63" i="4"/>
  <c r="K63" i="4"/>
  <c r="J63" i="4"/>
  <c r="G63" i="4"/>
  <c r="F63" i="4"/>
  <c r="E63" i="4"/>
  <c r="C63" i="4"/>
  <c r="O62" i="4"/>
  <c r="N62" i="4"/>
  <c r="L62" i="4"/>
  <c r="K62" i="4"/>
  <c r="I62" i="4"/>
  <c r="H62" i="4"/>
  <c r="G62" i="4"/>
  <c r="F62" i="4"/>
  <c r="E62" i="4"/>
  <c r="C62" i="4"/>
  <c r="O61" i="4"/>
  <c r="N61" i="4"/>
  <c r="L61" i="4"/>
  <c r="K61" i="4"/>
  <c r="I61" i="4"/>
  <c r="H61" i="4"/>
  <c r="G61" i="4"/>
  <c r="F61" i="4"/>
  <c r="E61" i="4"/>
  <c r="C61" i="4"/>
  <c r="O60" i="4"/>
  <c r="N60" i="4"/>
  <c r="L60" i="4"/>
  <c r="K60" i="4"/>
  <c r="J60" i="4"/>
  <c r="G60" i="4"/>
  <c r="F60" i="4"/>
  <c r="E60" i="4"/>
  <c r="C60" i="4"/>
  <c r="O59" i="4"/>
  <c r="N59" i="4"/>
  <c r="L59" i="4"/>
  <c r="K59" i="4"/>
  <c r="I59" i="4"/>
  <c r="H59" i="4"/>
  <c r="G59" i="4"/>
  <c r="F59" i="4"/>
  <c r="E59" i="4"/>
  <c r="C59" i="4"/>
  <c r="O58" i="4"/>
  <c r="N58" i="4"/>
  <c r="L58" i="4"/>
  <c r="K58" i="4"/>
  <c r="I58" i="4"/>
  <c r="H58" i="4"/>
  <c r="G58" i="4"/>
  <c r="F58" i="4"/>
  <c r="E58" i="4"/>
  <c r="C58" i="4"/>
  <c r="U57" i="4" a="1"/>
  <c r="U57" i="4" s="1"/>
  <c r="T57" i="4"/>
  <c r="O57" i="4"/>
  <c r="N57" i="4"/>
  <c r="M57" i="4"/>
  <c r="V57" i="4" s="1"/>
  <c r="J57" i="4"/>
  <c r="G57" i="4"/>
  <c r="F57" i="4"/>
  <c r="E57" i="4"/>
  <c r="C57" i="4"/>
  <c r="O56" i="4"/>
  <c r="N56" i="4"/>
  <c r="L56" i="4"/>
  <c r="K56" i="4"/>
  <c r="I56" i="4"/>
  <c r="H56" i="4"/>
  <c r="G56" i="4"/>
  <c r="F56" i="4"/>
  <c r="E56" i="4"/>
  <c r="C56" i="4"/>
  <c r="O55" i="4"/>
  <c r="N55" i="4"/>
  <c r="L55" i="4"/>
  <c r="K55" i="4"/>
  <c r="I55" i="4"/>
  <c r="H55" i="4"/>
  <c r="G55" i="4"/>
  <c r="F55" i="4"/>
  <c r="E55" i="4"/>
  <c r="C55" i="4"/>
  <c r="O54" i="4"/>
  <c r="N54" i="4"/>
  <c r="L54" i="4"/>
  <c r="K54" i="4"/>
  <c r="I54" i="4"/>
  <c r="H54" i="4"/>
  <c r="G54" i="4"/>
  <c r="F54" i="4"/>
  <c r="E54" i="4"/>
  <c r="C54" i="4"/>
  <c r="T53" i="4"/>
  <c r="O53" i="4"/>
  <c r="N53" i="4"/>
  <c r="L53" i="4"/>
  <c r="K53" i="4"/>
  <c r="J53" i="4"/>
  <c r="G53" i="4"/>
  <c r="F53" i="4"/>
  <c r="E53" i="4"/>
  <c r="C53" i="4"/>
  <c r="U52" i="4" a="1"/>
  <c r="U52" i="4" s="1"/>
  <c r="T52" i="4"/>
  <c r="O52" i="4"/>
  <c r="N52" i="4"/>
  <c r="L52" i="4"/>
  <c r="K52" i="4"/>
  <c r="J52" i="4"/>
  <c r="G52" i="4"/>
  <c r="F52" i="4"/>
  <c r="E52" i="4"/>
  <c r="C52" i="4"/>
  <c r="V51" i="4"/>
  <c r="T51" i="4"/>
  <c r="O51" i="4"/>
  <c r="N51" i="4"/>
  <c r="M51" i="4"/>
  <c r="W51" i="4" s="1" a="1"/>
  <c r="W51" i="4" s="1"/>
  <c r="J51" i="4"/>
  <c r="G51" i="4"/>
  <c r="F51" i="4"/>
  <c r="E51" i="4"/>
  <c r="C51" i="4"/>
  <c r="O50" i="4"/>
  <c r="N50" i="4"/>
  <c r="L50" i="4"/>
  <c r="K50" i="4"/>
  <c r="I50" i="4"/>
  <c r="H50" i="4"/>
  <c r="G50" i="4"/>
  <c r="F50" i="4"/>
  <c r="E50" i="4"/>
  <c r="C50" i="4"/>
  <c r="W49" i="4" a="1"/>
  <c r="W49" i="4" s="1"/>
  <c r="V49" i="4"/>
  <c r="T49" i="4"/>
  <c r="O49" i="4"/>
  <c r="N49" i="4"/>
  <c r="M49" i="4"/>
  <c r="J49" i="4"/>
  <c r="U49" i="4" s="1" a="1"/>
  <c r="U49" i="4" s="1"/>
  <c r="G49" i="4"/>
  <c r="F49" i="4"/>
  <c r="E49" i="4"/>
  <c r="C49" i="4"/>
  <c r="O48" i="4"/>
  <c r="N48" i="4"/>
  <c r="L48" i="4"/>
  <c r="K48" i="4"/>
  <c r="I48" i="4"/>
  <c r="H48" i="4"/>
  <c r="G48" i="4"/>
  <c r="F48" i="4"/>
  <c r="E48" i="4"/>
  <c r="C48" i="4"/>
  <c r="T47" i="4"/>
  <c r="O47" i="4"/>
  <c r="N47" i="4"/>
  <c r="L47" i="4"/>
  <c r="K47" i="4"/>
  <c r="J47" i="4"/>
  <c r="U47" i="4" s="1" a="1"/>
  <c r="U47" i="4" s="1"/>
  <c r="G47" i="4"/>
  <c r="F47" i="4"/>
  <c r="E47" i="4"/>
  <c r="C47" i="4"/>
  <c r="T46" i="4"/>
  <c r="O46" i="4"/>
  <c r="N46" i="4"/>
  <c r="L46" i="4"/>
  <c r="K46" i="4"/>
  <c r="J46" i="4"/>
  <c r="G46" i="4"/>
  <c r="F46" i="4"/>
  <c r="E46" i="4"/>
  <c r="C46" i="4"/>
  <c r="O45" i="4"/>
  <c r="N45" i="4"/>
  <c r="L45" i="4"/>
  <c r="K45" i="4"/>
  <c r="I45" i="4"/>
  <c r="H45" i="4"/>
  <c r="G45" i="4"/>
  <c r="F45" i="4"/>
  <c r="E45" i="4"/>
  <c r="C45" i="4"/>
  <c r="U44" i="4" a="1"/>
  <c r="U44" i="4" s="1"/>
  <c r="T44" i="4"/>
  <c r="O44" i="4"/>
  <c r="N44" i="4"/>
  <c r="M44" i="4"/>
  <c r="J44" i="4"/>
  <c r="G44" i="4"/>
  <c r="F44" i="4"/>
  <c r="E44" i="4"/>
  <c r="C44" i="4"/>
  <c r="O43" i="4"/>
  <c r="N43" i="4"/>
  <c r="L43" i="4"/>
  <c r="K43" i="4"/>
  <c r="I43" i="4"/>
  <c r="H43" i="4"/>
  <c r="G43" i="4"/>
  <c r="F43" i="4"/>
  <c r="E43" i="4"/>
  <c r="C43" i="4"/>
  <c r="O42" i="4"/>
  <c r="N42" i="4"/>
  <c r="L42" i="4"/>
  <c r="K42" i="4"/>
  <c r="I42" i="4"/>
  <c r="H42" i="4"/>
  <c r="G42" i="4"/>
  <c r="F42" i="4"/>
  <c r="E42" i="4"/>
  <c r="C42" i="4"/>
  <c r="O41" i="4"/>
  <c r="N41" i="4"/>
  <c r="L41" i="4"/>
  <c r="K41" i="4"/>
  <c r="I41" i="4"/>
  <c r="H41" i="4"/>
  <c r="G41" i="4"/>
  <c r="F41" i="4"/>
  <c r="E41" i="4"/>
  <c r="C41" i="4"/>
  <c r="O40" i="4"/>
  <c r="N40" i="4"/>
  <c r="L40" i="4"/>
  <c r="K40" i="4"/>
  <c r="I40" i="4"/>
  <c r="H40" i="4"/>
  <c r="G40" i="4"/>
  <c r="F40" i="4"/>
  <c r="E40" i="4"/>
  <c r="C40" i="4"/>
  <c r="O39" i="4"/>
  <c r="N39" i="4"/>
  <c r="L39" i="4"/>
  <c r="K39" i="4"/>
  <c r="I39" i="4"/>
  <c r="H39" i="4"/>
  <c r="G39" i="4"/>
  <c r="F39" i="4"/>
  <c r="E39" i="4"/>
  <c r="C39" i="4"/>
  <c r="O38" i="4"/>
  <c r="N38" i="4"/>
  <c r="L38" i="4"/>
  <c r="K38" i="4"/>
  <c r="I38" i="4"/>
  <c r="H38" i="4"/>
  <c r="G38" i="4"/>
  <c r="F38" i="4"/>
  <c r="E38" i="4"/>
  <c r="C38" i="4"/>
  <c r="O37" i="4"/>
  <c r="N37" i="4"/>
  <c r="L37" i="4"/>
  <c r="K37" i="4"/>
  <c r="I37" i="4"/>
  <c r="H37" i="4"/>
  <c r="G37" i="4"/>
  <c r="F37" i="4"/>
  <c r="E37" i="4"/>
  <c r="C37" i="4"/>
  <c r="O36" i="4"/>
  <c r="N36" i="4"/>
  <c r="L36" i="4"/>
  <c r="K36" i="4"/>
  <c r="I36" i="4"/>
  <c r="H36" i="4"/>
  <c r="G36" i="4"/>
  <c r="F36" i="4"/>
  <c r="E36" i="4"/>
  <c r="C36" i="4"/>
  <c r="O35" i="4"/>
  <c r="N35" i="4"/>
  <c r="L35" i="4"/>
  <c r="K35" i="4"/>
  <c r="I35" i="4"/>
  <c r="H35" i="4"/>
  <c r="G35" i="4"/>
  <c r="F35" i="4"/>
  <c r="E35" i="4"/>
  <c r="C35" i="4"/>
  <c r="O34" i="4"/>
  <c r="N34" i="4"/>
  <c r="L34" i="4"/>
  <c r="K34" i="4"/>
  <c r="I34" i="4"/>
  <c r="H34" i="4"/>
  <c r="G34" i="4"/>
  <c r="F34" i="4"/>
  <c r="E34" i="4"/>
  <c r="C34" i="4"/>
  <c r="O33" i="4"/>
  <c r="N33" i="4"/>
  <c r="L33" i="4"/>
  <c r="K33" i="4"/>
  <c r="I33" i="4"/>
  <c r="H33" i="4"/>
  <c r="G33" i="4"/>
  <c r="F33" i="4"/>
  <c r="E33" i="4"/>
  <c r="C33" i="4"/>
  <c r="W32" i="4" a="1"/>
  <c r="W32" i="4" s="1"/>
  <c r="V32" i="4"/>
  <c r="T32" i="4"/>
  <c r="O32" i="4"/>
  <c r="N32" i="4"/>
  <c r="M32" i="4"/>
  <c r="J32" i="4"/>
  <c r="U32" i="4" s="1" a="1"/>
  <c r="U32" i="4" s="1"/>
  <c r="G32" i="4"/>
  <c r="F32" i="4"/>
  <c r="E32" i="4"/>
  <c r="C32" i="4"/>
  <c r="V31" i="4"/>
  <c r="T31" i="4"/>
  <c r="O31" i="4"/>
  <c r="N31" i="4"/>
  <c r="M31" i="4"/>
  <c r="W31" i="4" s="1" a="1"/>
  <c r="W31" i="4" s="1"/>
  <c r="J31" i="4"/>
  <c r="G31" i="4"/>
  <c r="F31" i="4"/>
  <c r="E31" i="4"/>
  <c r="C31" i="4"/>
  <c r="W30" i="4" a="1"/>
  <c r="W30" i="4" s="1"/>
  <c r="V30" i="4"/>
  <c r="T30" i="4"/>
  <c r="O30" i="4"/>
  <c r="N30" i="4"/>
  <c r="M30" i="4"/>
  <c r="J30" i="4"/>
  <c r="G30" i="4"/>
  <c r="F30" i="4"/>
  <c r="E30" i="4"/>
  <c r="C30" i="4"/>
  <c r="O29" i="4"/>
  <c r="N29" i="4"/>
  <c r="L29" i="4"/>
  <c r="K29" i="4"/>
  <c r="I29" i="4"/>
  <c r="H29" i="4"/>
  <c r="G29" i="4"/>
  <c r="F29" i="4"/>
  <c r="E29" i="4"/>
  <c r="C29" i="4"/>
  <c r="O28" i="4"/>
  <c r="N28" i="4"/>
  <c r="L28" i="4"/>
  <c r="K28" i="4"/>
  <c r="I28" i="4"/>
  <c r="H28" i="4"/>
  <c r="G28" i="4"/>
  <c r="F28" i="4"/>
  <c r="E28" i="4"/>
  <c r="C28" i="4"/>
  <c r="O27" i="4"/>
  <c r="N27" i="4"/>
  <c r="L27" i="4"/>
  <c r="K27" i="4"/>
  <c r="I27" i="4"/>
  <c r="H27" i="4"/>
  <c r="G27" i="4"/>
  <c r="F27" i="4"/>
  <c r="E27" i="4"/>
  <c r="C27" i="4"/>
  <c r="T26" i="4"/>
  <c r="O26" i="4"/>
  <c r="N26" i="4"/>
  <c r="L26" i="4"/>
  <c r="K26" i="4"/>
  <c r="J26" i="4"/>
  <c r="G26" i="4"/>
  <c r="F26" i="4"/>
  <c r="E26" i="4"/>
  <c r="C26" i="4"/>
  <c r="O25" i="4"/>
  <c r="N25" i="4"/>
  <c r="L25" i="4"/>
  <c r="K25" i="4"/>
  <c r="I25" i="4"/>
  <c r="H25" i="4"/>
  <c r="G25" i="4"/>
  <c r="F25" i="4"/>
  <c r="E25" i="4"/>
  <c r="C25" i="4"/>
  <c r="V24" i="4"/>
  <c r="U24" i="4" a="1"/>
  <c r="U24" i="4" s="1"/>
  <c r="T24" i="4"/>
  <c r="O24" i="4"/>
  <c r="N24" i="4"/>
  <c r="M24" i="4"/>
  <c r="W24" i="4" s="1" a="1"/>
  <c r="W24" i="4" s="1"/>
  <c r="J24" i="4"/>
  <c r="G24" i="4"/>
  <c r="F24" i="4"/>
  <c r="E24" i="4"/>
  <c r="C24" i="4"/>
  <c r="O23" i="4"/>
  <c r="N23" i="4"/>
  <c r="L23" i="4"/>
  <c r="K23" i="4"/>
  <c r="I23" i="4"/>
  <c r="H23" i="4"/>
  <c r="G23" i="4"/>
  <c r="F23" i="4"/>
  <c r="E23" i="4"/>
  <c r="C23" i="4"/>
  <c r="O22" i="4"/>
  <c r="N22" i="4"/>
  <c r="L22" i="4"/>
  <c r="K22" i="4"/>
  <c r="I22" i="4"/>
  <c r="H22" i="4"/>
  <c r="G22" i="4"/>
  <c r="F22" i="4"/>
  <c r="E22" i="4"/>
  <c r="C22" i="4"/>
  <c r="O21" i="4"/>
  <c r="N21" i="4"/>
  <c r="L21" i="4"/>
  <c r="K21" i="4"/>
  <c r="J21" i="4"/>
  <c r="G21" i="4"/>
  <c r="F21" i="4"/>
  <c r="E21" i="4"/>
  <c r="C21" i="4"/>
  <c r="O20" i="4"/>
  <c r="N20" i="4"/>
  <c r="L20" i="4"/>
  <c r="K20" i="4"/>
  <c r="I20" i="4"/>
  <c r="H20" i="4"/>
  <c r="G20" i="4"/>
  <c r="F20" i="4"/>
  <c r="E20" i="4"/>
  <c r="C20" i="4"/>
  <c r="O19" i="4"/>
  <c r="N19" i="4"/>
  <c r="L19" i="4"/>
  <c r="K19" i="4"/>
  <c r="I19" i="4"/>
  <c r="H19" i="4"/>
  <c r="G19" i="4"/>
  <c r="F19" i="4"/>
  <c r="E19" i="4"/>
  <c r="C19" i="4"/>
  <c r="O18" i="4"/>
  <c r="N18" i="4"/>
  <c r="L18" i="4"/>
  <c r="K18" i="4"/>
  <c r="I18" i="4"/>
  <c r="H18" i="4"/>
  <c r="G18" i="4"/>
  <c r="F18" i="4"/>
  <c r="E18" i="4"/>
  <c r="C18" i="4"/>
  <c r="O17" i="4"/>
  <c r="N17" i="4"/>
  <c r="L17" i="4"/>
  <c r="K17" i="4"/>
  <c r="I17" i="4"/>
  <c r="H17" i="4"/>
  <c r="G17" i="4"/>
  <c r="F17" i="4"/>
  <c r="E17" i="4"/>
  <c r="C17" i="4"/>
  <c r="O16" i="4"/>
  <c r="N16" i="4"/>
  <c r="L16" i="4"/>
  <c r="K16" i="4"/>
  <c r="I16" i="4"/>
  <c r="H16" i="4"/>
  <c r="G16" i="4"/>
  <c r="F16" i="4"/>
  <c r="E16" i="4"/>
  <c r="C16" i="4"/>
  <c r="V15" i="4"/>
  <c r="T15" i="4"/>
  <c r="O15" i="4"/>
  <c r="N15" i="4"/>
  <c r="M15" i="4"/>
  <c r="W15" i="4" s="1" a="1"/>
  <c r="W15" i="4" s="1"/>
  <c r="J15" i="4"/>
  <c r="G15" i="4"/>
  <c r="F15" i="4"/>
  <c r="E15" i="4"/>
  <c r="C15" i="4"/>
  <c r="O14" i="4"/>
  <c r="N14" i="4"/>
  <c r="L14" i="4"/>
  <c r="K14" i="4"/>
  <c r="I14" i="4"/>
  <c r="H14" i="4"/>
  <c r="G14" i="4"/>
  <c r="F14" i="4"/>
  <c r="E14" i="4"/>
  <c r="C14" i="4"/>
  <c r="V13" i="4"/>
  <c r="T13" i="4"/>
  <c r="O13" i="4"/>
  <c r="N13" i="4"/>
  <c r="M13" i="4"/>
  <c r="W13" i="4" s="1" a="1"/>
  <c r="W13" i="4" s="1"/>
  <c r="J13" i="4"/>
  <c r="U13" i="4" s="1" a="1"/>
  <c r="U13" i="4" s="1"/>
  <c r="G13" i="4"/>
  <c r="F13" i="4"/>
  <c r="E13" i="4"/>
  <c r="C13" i="4"/>
  <c r="O12" i="4"/>
  <c r="N12" i="4"/>
  <c r="L12" i="4"/>
  <c r="K12" i="4"/>
  <c r="I12" i="4"/>
  <c r="H12" i="4"/>
  <c r="G12" i="4"/>
  <c r="F12" i="4"/>
  <c r="E12" i="4"/>
  <c r="C12" i="4"/>
  <c r="P55" i="4" l="1"/>
  <c r="R55" i="4" s="1"/>
  <c r="M82" i="4"/>
  <c r="P31" i="4"/>
  <c r="P74" i="4"/>
  <c r="R74" i="4" s="1"/>
  <c r="P91" i="4"/>
  <c r="R91" i="4" s="1"/>
  <c r="J193" i="4"/>
  <c r="J101" i="4"/>
  <c r="P164" i="4"/>
  <c r="P193" i="4"/>
  <c r="R193" i="4" s="1"/>
  <c r="M109" i="4"/>
  <c r="V109" i="4" s="1"/>
  <c r="M119" i="4"/>
  <c r="P155" i="4"/>
  <c r="R155" i="4" s="1"/>
  <c r="J87" i="4"/>
  <c r="U87" i="4" s="1" a="1"/>
  <c r="U87" i="4" s="1"/>
  <c r="P88" i="4"/>
  <c r="R88" i="4" s="1"/>
  <c r="M101" i="4"/>
  <c r="W101" i="4" s="1" a="1"/>
  <c r="W101" i="4" s="1"/>
  <c r="J117" i="4"/>
  <c r="P118" i="4"/>
  <c r="R118" i="4" s="1"/>
  <c r="P132" i="4"/>
  <c r="R132" i="4" s="1"/>
  <c r="M153" i="4"/>
  <c r="W153" i="4" s="1" a="1"/>
  <c r="W153" i="4" s="1"/>
  <c r="J12" i="4"/>
  <c r="U12" i="4" s="1" a="1"/>
  <c r="U12" i="4" s="1"/>
  <c r="J19" i="4"/>
  <c r="P27" i="4"/>
  <c r="R27" i="4" s="1"/>
  <c r="M41" i="4"/>
  <c r="W41" i="4" s="1" a="1"/>
  <c r="W41" i="4" s="1"/>
  <c r="P52" i="4"/>
  <c r="R52" i="4" s="1"/>
  <c r="J55" i="4"/>
  <c r="T55" i="4" s="1"/>
  <c r="P56" i="4"/>
  <c r="R56" i="4" s="1"/>
  <c r="P117" i="4"/>
  <c r="R117" i="4" s="1"/>
  <c r="P127" i="4"/>
  <c r="R127" i="4" s="1"/>
  <c r="J130" i="4"/>
  <c r="U130" i="4" s="1" a="1"/>
  <c r="U130" i="4" s="1"/>
  <c r="P131" i="4"/>
  <c r="R131" i="4" s="1"/>
  <c r="J137" i="4"/>
  <c r="T137" i="4" s="1"/>
  <c r="P156" i="4"/>
  <c r="R156" i="4" s="1"/>
  <c r="J22" i="4"/>
  <c r="P23" i="4"/>
  <c r="R23" i="4" s="1"/>
  <c r="P80" i="4"/>
  <c r="R80" i="4" s="1"/>
  <c r="J29" i="4"/>
  <c r="M47" i="4"/>
  <c r="V47" i="4" s="1"/>
  <c r="P109" i="4"/>
  <c r="R109" i="4" s="1"/>
  <c r="P119" i="4"/>
  <c r="R119" i="4" s="1"/>
  <c r="M129" i="4"/>
  <c r="W129" i="4" s="1" a="1"/>
  <c r="W129" i="4" s="1"/>
  <c r="P154" i="4"/>
  <c r="R154" i="4" s="1"/>
  <c r="P146" i="4"/>
  <c r="R146" i="4" s="1"/>
  <c r="J17" i="4"/>
  <c r="U17" i="4" s="1" a="1"/>
  <c r="U17" i="4" s="1"/>
  <c r="P46" i="4"/>
  <c r="R46" i="4" s="1"/>
  <c r="M60" i="4"/>
  <c r="W60" i="4" s="1" a="1"/>
  <c r="W60" i="4" s="1"/>
  <c r="M77" i="4"/>
  <c r="V77" i="4" s="1"/>
  <c r="P81" i="4"/>
  <c r="R81" i="4" s="1"/>
  <c r="M91" i="4"/>
  <c r="V91" i="4" s="1"/>
  <c r="J104" i="4"/>
  <c r="T104" i="4" s="1"/>
  <c r="P105" i="4"/>
  <c r="R105" i="4" s="1"/>
  <c r="P17" i="4"/>
  <c r="R17" i="4" s="1"/>
  <c r="M27" i="4"/>
  <c r="V27" i="4" s="1"/>
  <c r="P35" i="4"/>
  <c r="R35" i="4" s="1"/>
  <c r="M52" i="4"/>
  <c r="W52" i="4" s="1" a="1"/>
  <c r="W52" i="4" s="1"/>
  <c r="M177" i="4"/>
  <c r="W177" i="4" s="1" a="1"/>
  <c r="W177" i="4" s="1"/>
  <c r="J180" i="4"/>
  <c r="T180" i="4" s="1"/>
  <c r="P185" i="4"/>
  <c r="R185" i="4" s="1"/>
  <c r="J194" i="4"/>
  <c r="T194" i="4" s="1"/>
  <c r="F5" i="11"/>
  <c r="G5" i="11"/>
  <c r="G7" i="11"/>
  <c r="F7" i="11"/>
  <c r="E7" i="11"/>
  <c r="G6" i="11"/>
  <c r="F6" i="11"/>
  <c r="E6" i="11"/>
  <c r="E5" i="11"/>
  <c r="M18" i="4"/>
  <c r="W18" i="4" s="1" a="1"/>
  <c r="W18" i="4" s="1"/>
  <c r="J39" i="4"/>
  <c r="U39" i="4" s="1" a="1"/>
  <c r="U39" i="4" s="1"/>
  <c r="P40" i="4"/>
  <c r="R40" i="4" s="1"/>
  <c r="P79" i="4"/>
  <c r="R79" i="4" s="1"/>
  <c r="M85" i="4"/>
  <c r="W85" i="4" s="1" a="1"/>
  <c r="W85" i="4" s="1"/>
  <c r="J95" i="4"/>
  <c r="U95" i="4" s="1" a="1"/>
  <c r="U95" i="4" s="1"/>
  <c r="J115" i="4"/>
  <c r="T115" i="4" s="1"/>
  <c r="M179" i="4"/>
  <c r="W179" i="4" s="1" a="1"/>
  <c r="W179" i="4" s="1"/>
  <c r="J186" i="4"/>
  <c r="U186" i="4" s="1" a="1"/>
  <c r="U186" i="4" s="1"/>
  <c r="M193" i="4"/>
  <c r="V193" i="4" s="1"/>
  <c r="J42" i="4"/>
  <c r="T42" i="4" s="1"/>
  <c r="P54" i="4"/>
  <c r="R54" i="4" s="1"/>
  <c r="P57" i="4"/>
  <c r="R57" i="4" s="1"/>
  <c r="M64" i="4"/>
  <c r="V64" i="4" s="1"/>
  <c r="J67" i="4"/>
  <c r="T67" i="4" s="1"/>
  <c r="P68" i="4"/>
  <c r="R68" i="4" s="1"/>
  <c r="P71" i="4"/>
  <c r="R71" i="4" s="1"/>
  <c r="P85" i="4"/>
  <c r="R85" i="4" s="1"/>
  <c r="M95" i="4"/>
  <c r="W95" i="4" s="1" a="1"/>
  <c r="W95" i="4" s="1"/>
  <c r="J98" i="4"/>
  <c r="T98" i="4" s="1"/>
  <c r="P102" i="4"/>
  <c r="R102" i="4" s="1"/>
  <c r="J108" i="4"/>
  <c r="T108" i="4" s="1"/>
  <c r="P112" i="4"/>
  <c r="R112" i="4" s="1"/>
  <c r="M168" i="4"/>
  <c r="W168" i="4" s="1" a="1"/>
  <c r="W168" i="4" s="1"/>
  <c r="P115" i="4"/>
  <c r="R115" i="4" s="1"/>
  <c r="M76" i="4"/>
  <c r="W76" i="4" s="1" a="1"/>
  <c r="W76" i="4" s="1"/>
  <c r="P135" i="4"/>
  <c r="R135" i="4" s="1"/>
  <c r="M142" i="4"/>
  <c r="W142" i="4" s="1" a="1"/>
  <c r="W142" i="4" s="1"/>
  <c r="P149" i="4"/>
  <c r="R149" i="4" s="1"/>
  <c r="P153" i="4"/>
  <c r="R153" i="4" s="1"/>
  <c r="P195" i="4"/>
  <c r="R195" i="4" s="1"/>
  <c r="P73" i="4"/>
  <c r="R73" i="4" s="1"/>
  <c r="P160" i="4"/>
  <c r="R160" i="4" s="1"/>
  <c r="P34" i="4"/>
  <c r="R34" i="4" s="1"/>
  <c r="P44" i="4"/>
  <c r="R44" i="4" s="1"/>
  <c r="P83" i="4"/>
  <c r="R83" i="4" s="1"/>
  <c r="J89" i="4"/>
  <c r="M93" i="4"/>
  <c r="W93" i="4" s="1" a="1"/>
  <c r="W93" i="4" s="1"/>
  <c r="J106" i="4"/>
  <c r="T106" i="4" s="1"/>
  <c r="P170" i="4"/>
  <c r="R170" i="4" s="1"/>
  <c r="M173" i="4"/>
  <c r="P177" i="4"/>
  <c r="R177" i="4" s="1"/>
  <c r="J187" i="4"/>
  <c r="T187" i="4" s="1"/>
  <c r="P188" i="4"/>
  <c r="R188" i="4" s="1"/>
  <c r="M191" i="4"/>
  <c r="V191" i="4" s="1"/>
  <c r="M194" i="4"/>
  <c r="W194" i="4" s="1" a="1"/>
  <c r="W194" i="4" s="1"/>
  <c r="M118" i="4"/>
  <c r="V118" i="4" s="1"/>
  <c r="J61" i="4"/>
  <c r="T61" i="4" s="1"/>
  <c r="P62" i="4"/>
  <c r="R62" i="4" s="1"/>
  <c r="J119" i="4"/>
  <c r="T119" i="4" s="1"/>
  <c r="P120" i="4"/>
  <c r="R120" i="4" s="1"/>
  <c r="M123" i="4"/>
  <c r="W123" i="4" s="1" a="1"/>
  <c r="W123" i="4" s="1"/>
  <c r="F5" i="5" a="1"/>
  <c r="F5" i="5" s="1"/>
  <c r="E5" i="5" a="1"/>
  <c r="E5" i="5" s="1"/>
  <c r="D5" i="5" a="1"/>
  <c r="D5" i="5" s="1"/>
  <c r="F4" i="5" a="1"/>
  <c r="F4" i="5" s="1"/>
  <c r="E4" i="5" a="1"/>
  <c r="E4" i="5" s="1"/>
  <c r="D3" i="5" a="1"/>
  <c r="D3" i="5" s="1"/>
  <c r="D4" i="5" a="1"/>
  <c r="D4" i="5" s="1"/>
  <c r="E3" i="5" a="1"/>
  <c r="E3" i="5" s="1"/>
  <c r="F3" i="5" a="1"/>
  <c r="F3" i="5" s="1"/>
  <c r="M33" i="4"/>
  <c r="W33" i="4" s="1" a="1"/>
  <c r="W33" i="4" s="1"/>
  <c r="J36" i="4"/>
  <c r="T36" i="4" s="1"/>
  <c r="P37" i="4"/>
  <c r="R37" i="4" s="1"/>
  <c r="M40" i="4"/>
  <c r="W40" i="4" s="1" a="1"/>
  <c r="W40" i="4" s="1"/>
  <c r="P51" i="4"/>
  <c r="R51" i="4" s="1"/>
  <c r="M55" i="4"/>
  <c r="W55" i="4" s="1" a="1"/>
  <c r="W55" i="4" s="1"/>
  <c r="P87" i="4"/>
  <c r="R87" i="4" s="1"/>
  <c r="J107" i="4"/>
  <c r="U107" i="4" s="1" a="1"/>
  <c r="U107" i="4" s="1"/>
  <c r="M114" i="4"/>
  <c r="J121" i="4"/>
  <c r="T121" i="4" s="1"/>
  <c r="J149" i="4"/>
  <c r="U149" i="4" s="1" a="1"/>
  <c r="U149" i="4" s="1"/>
  <c r="J171" i="4"/>
  <c r="T171" i="4" s="1"/>
  <c r="P172" i="4"/>
  <c r="R172" i="4" s="1"/>
  <c r="M175" i="4"/>
  <c r="V175" i="4" s="1"/>
  <c r="P179" i="4"/>
  <c r="R179" i="4" s="1"/>
  <c r="P196" i="4"/>
  <c r="R196" i="4" s="1"/>
  <c r="M25" i="4"/>
  <c r="W25" i="4" s="1" a="1"/>
  <c r="W25" i="4" s="1"/>
  <c r="M139" i="4"/>
  <c r="V139" i="4" s="1"/>
  <c r="M14" i="4"/>
  <c r="V14" i="4" s="1"/>
  <c r="M28" i="4"/>
  <c r="W28" i="4" s="1" a="1"/>
  <c r="W28" i="4" s="1"/>
  <c r="P32" i="4"/>
  <c r="R32" i="4" s="1"/>
  <c r="J68" i="4"/>
  <c r="T68" i="4" s="1"/>
  <c r="M75" i="4"/>
  <c r="V75" i="4" s="1"/>
  <c r="M167" i="4"/>
  <c r="M178" i="4"/>
  <c r="M17" i="4"/>
  <c r="V17" i="4" s="1"/>
  <c r="P24" i="4"/>
  <c r="R24" i="4" s="1"/>
  <c r="P61" i="4"/>
  <c r="R61" i="4" s="1"/>
  <c r="M68" i="4"/>
  <c r="V68" i="4" s="1"/>
  <c r="P96" i="4"/>
  <c r="R96" i="4" s="1"/>
  <c r="P110" i="4"/>
  <c r="R110" i="4" s="1"/>
  <c r="J120" i="4"/>
  <c r="U120" i="4" s="1" a="1"/>
  <c r="U120" i="4" s="1"/>
  <c r="J134" i="4"/>
  <c r="T134" i="4" s="1"/>
  <c r="P138" i="4"/>
  <c r="R138" i="4" s="1"/>
  <c r="P167" i="4"/>
  <c r="R167" i="4" s="1"/>
  <c r="M141" i="4"/>
  <c r="V141" i="4" s="1"/>
  <c r="P134" i="4"/>
  <c r="R134" i="4" s="1"/>
  <c r="P151" i="4"/>
  <c r="R151" i="4" s="1"/>
  <c r="J158" i="4"/>
  <c r="U158" i="4" s="1" a="1"/>
  <c r="U158" i="4" s="1"/>
  <c r="M180" i="4"/>
  <c r="V180" i="4" s="1"/>
  <c r="J197" i="4"/>
  <c r="T197" i="4" s="1"/>
  <c r="M45" i="4"/>
  <c r="J105" i="4"/>
  <c r="P194" i="4"/>
  <c r="R194" i="4" s="1"/>
  <c r="M16" i="4"/>
  <c r="W16" i="4" s="1" a="1"/>
  <c r="W16" i="4" s="1"/>
  <c r="P16" i="4"/>
  <c r="R16" i="4" s="1"/>
  <c r="M19" i="4"/>
  <c r="W19" i="4" s="1" a="1"/>
  <c r="W19" i="4" s="1"/>
  <c r="J62" i="4"/>
  <c r="U62" i="4" s="1" a="1"/>
  <c r="U62" i="4" s="1"/>
  <c r="P63" i="4"/>
  <c r="R63" i="4" s="1"/>
  <c r="P67" i="4"/>
  <c r="R67" i="4" s="1"/>
  <c r="J80" i="4"/>
  <c r="U80" i="4" s="1" a="1"/>
  <c r="U80" i="4" s="1"/>
  <c r="J161" i="4"/>
  <c r="P162" i="4"/>
  <c r="R162" i="4" s="1"/>
  <c r="J172" i="4"/>
  <c r="P12" i="4"/>
  <c r="P15" i="4"/>
  <c r="R15" i="4" s="1"/>
  <c r="P19" i="4"/>
  <c r="R19" i="4" s="1"/>
  <c r="J25" i="4"/>
  <c r="U25" i="4" s="1" a="1"/>
  <c r="U25" i="4" s="1"/>
  <c r="P26" i="4"/>
  <c r="R26" i="4" s="1"/>
  <c r="M29" i="4"/>
  <c r="V29" i="4" s="1"/>
  <c r="P48" i="4"/>
  <c r="R48" i="4" s="1"/>
  <c r="M80" i="4"/>
  <c r="W80" i="4" s="1" a="1"/>
  <c r="W80" i="4" s="1"/>
  <c r="J90" i="4"/>
  <c r="T90" i="4" s="1"/>
  <c r="P111" i="4"/>
  <c r="Q111" i="4" s="1"/>
  <c r="S111" i="4" s="1"/>
  <c r="P140" i="4"/>
  <c r="R140" i="4" s="1"/>
  <c r="M160" i="4"/>
  <c r="J14" i="4"/>
  <c r="M22" i="4"/>
  <c r="V22" i="4" s="1"/>
  <c r="M34" i="4"/>
  <c r="W34" i="4" s="1" a="1"/>
  <c r="W34" i="4" s="1"/>
  <c r="P49" i="4"/>
  <c r="R49" i="4" s="1"/>
  <c r="P50" i="4"/>
  <c r="R50" i="4" s="1"/>
  <c r="M53" i="4"/>
  <c r="V53" i="4" s="1"/>
  <c r="P65" i="4"/>
  <c r="R65" i="4" s="1"/>
  <c r="J86" i="4"/>
  <c r="U86" i="4" s="1" a="1"/>
  <c r="U86" i="4" s="1"/>
  <c r="P97" i="4"/>
  <c r="R97" i="4" s="1"/>
  <c r="P101" i="4"/>
  <c r="R101" i="4" s="1"/>
  <c r="M104" i="4"/>
  <c r="W104" i="4" s="1" a="1"/>
  <c r="W104" i="4" s="1"/>
  <c r="M108" i="4"/>
  <c r="V108" i="4" s="1"/>
  <c r="J114" i="4"/>
  <c r="T114" i="4" s="1"/>
  <c r="M115" i="4"/>
  <c r="V115" i="4" s="1"/>
  <c r="J126" i="4"/>
  <c r="U126" i="4" s="1" a="1"/>
  <c r="U126" i="4" s="1"/>
  <c r="J178" i="4"/>
  <c r="U178" i="4" s="1" a="1"/>
  <c r="U178" i="4" s="1"/>
  <c r="P187" i="4"/>
  <c r="R187" i="4" s="1"/>
  <c r="M163" i="4"/>
  <c r="V163" i="4" s="1"/>
  <c r="J170" i="4"/>
  <c r="T170" i="4" s="1"/>
  <c r="P175" i="4"/>
  <c r="R175" i="4" s="1"/>
  <c r="M186" i="4"/>
  <c r="W186" i="4" s="1" a="1"/>
  <c r="W186" i="4" s="1"/>
  <c r="P190" i="4"/>
  <c r="R190" i="4" s="1"/>
  <c r="J38" i="4"/>
  <c r="T38" i="4" s="1"/>
  <c r="M42" i="4"/>
  <c r="W42" i="4" s="1" a="1"/>
  <c r="W42" i="4" s="1"/>
  <c r="M65" i="4"/>
  <c r="W65" i="4" s="1" a="1"/>
  <c r="W65" i="4" s="1"/>
  <c r="P191" i="4"/>
  <c r="R191" i="4" s="1"/>
  <c r="P22" i="4"/>
  <c r="R22" i="4" s="1"/>
  <c r="J37" i="4"/>
  <c r="U37" i="4" s="1" a="1"/>
  <c r="U37" i="4" s="1"/>
  <c r="J48" i="4"/>
  <c r="U48" i="4" s="1" a="1"/>
  <c r="U48" i="4" s="1"/>
  <c r="J74" i="4"/>
  <c r="T74" i="4" s="1"/>
  <c r="J118" i="4"/>
  <c r="M137" i="4"/>
  <c r="V137" i="4" s="1"/>
  <c r="P94" i="4"/>
  <c r="R94" i="4" s="1"/>
  <c r="M21" i="4"/>
  <c r="V21" i="4" s="1"/>
  <c r="M48" i="4"/>
  <c r="V48" i="4" s="1"/>
  <c r="M56" i="4"/>
  <c r="W56" i="4" s="1" a="1"/>
  <c r="W56" i="4" s="1"/>
  <c r="P60" i="4"/>
  <c r="R60" i="4" s="1"/>
  <c r="P64" i="4"/>
  <c r="R64" i="4" s="1"/>
  <c r="P82" i="4"/>
  <c r="R82" i="4" s="1"/>
  <c r="J85" i="4"/>
  <c r="U85" i="4" s="1" a="1"/>
  <c r="U85" i="4" s="1"/>
  <c r="M89" i="4"/>
  <c r="W89" i="4" s="1" a="1"/>
  <c r="W89" i="4" s="1"/>
  <c r="P93" i="4"/>
  <c r="R93" i="4" s="1"/>
  <c r="P100" i="4"/>
  <c r="R100" i="4" s="1"/>
  <c r="M107" i="4"/>
  <c r="P108" i="4"/>
  <c r="R108" i="4" s="1"/>
  <c r="P126" i="4"/>
  <c r="R126" i="4" s="1"/>
  <c r="J129" i="4"/>
  <c r="P130" i="4"/>
  <c r="R130" i="4" s="1"/>
  <c r="P137" i="4"/>
  <c r="R137" i="4" s="1"/>
  <c r="M155" i="4"/>
  <c r="W155" i="4" s="1" a="1"/>
  <c r="W155" i="4" s="1"/>
  <c r="P159" i="4"/>
  <c r="R159" i="4" s="1"/>
  <c r="P163" i="4"/>
  <c r="R163" i="4" s="1"/>
  <c r="M170" i="4"/>
  <c r="V170" i="4" s="1"/>
  <c r="J177" i="4"/>
  <c r="T177" i="4" s="1"/>
  <c r="P178" i="4"/>
  <c r="R178" i="4" s="1"/>
  <c r="M189" i="4"/>
  <c r="W189" i="4" s="1" a="1"/>
  <c r="W189" i="4" s="1"/>
  <c r="M185" i="4"/>
  <c r="V185" i="4" s="1"/>
  <c r="J173" i="4"/>
  <c r="U173" i="4" s="1" a="1"/>
  <c r="U173" i="4" s="1"/>
  <c r="P181" i="4"/>
  <c r="R181" i="4" s="1"/>
  <c r="J43" i="4"/>
  <c r="T43" i="4" s="1"/>
  <c r="M70" i="4"/>
  <c r="W70" i="4" s="1" a="1"/>
  <c r="W70" i="4" s="1"/>
  <c r="P77" i="4"/>
  <c r="R77" i="4" s="1"/>
  <c r="J84" i="4"/>
  <c r="P99" i="4"/>
  <c r="R99" i="4" s="1"/>
  <c r="P113" i="4"/>
  <c r="R113" i="4" s="1"/>
  <c r="M125" i="4"/>
  <c r="J128" i="4"/>
  <c r="U128" i="4" s="1" a="1"/>
  <c r="U128" i="4" s="1"/>
  <c r="J139" i="4"/>
  <c r="M140" i="4"/>
  <c r="W140" i="4" s="1" a="1"/>
  <c r="W140" i="4" s="1"/>
  <c r="M158" i="4"/>
  <c r="W158" i="4" s="1" a="1"/>
  <c r="W158" i="4" s="1"/>
  <c r="M162" i="4"/>
  <c r="W162" i="4" s="1" a="1"/>
  <c r="W162" i="4" s="1"/>
  <c r="M110" i="4"/>
  <c r="W110" i="4" s="1" a="1"/>
  <c r="W110" i="4" s="1"/>
  <c r="P122" i="4"/>
  <c r="R122" i="4" s="1"/>
  <c r="M20" i="4"/>
  <c r="W20" i="4" s="1" a="1"/>
  <c r="W20" i="4" s="1"/>
  <c r="J23" i="4"/>
  <c r="T23" i="4" s="1"/>
  <c r="J27" i="4"/>
  <c r="U27" i="4" s="1" a="1"/>
  <c r="U27" i="4" s="1"/>
  <c r="P28" i="4"/>
  <c r="R28" i="4" s="1"/>
  <c r="J35" i="4"/>
  <c r="P36" i="4"/>
  <c r="R36" i="4" s="1"/>
  <c r="P59" i="4"/>
  <c r="R59" i="4" s="1"/>
  <c r="P70" i="4"/>
  <c r="R70" i="4" s="1"/>
  <c r="M128" i="4"/>
  <c r="P129" i="4"/>
  <c r="R129" i="4" s="1"/>
  <c r="P158" i="4"/>
  <c r="R158" i="4" s="1"/>
  <c r="P169" i="4"/>
  <c r="R169" i="4" s="1"/>
  <c r="M176" i="4"/>
  <c r="V176" i="4" s="1"/>
  <c r="J191" i="4"/>
  <c r="U191" i="4" s="1" a="1"/>
  <c r="U191" i="4" s="1"/>
  <c r="M12" i="4"/>
  <c r="P20" i="4"/>
  <c r="R20" i="4" s="1"/>
  <c r="P43" i="4"/>
  <c r="R43" i="4" s="1"/>
  <c r="M46" i="4"/>
  <c r="V46" i="4" s="1"/>
  <c r="J54" i="4"/>
  <c r="T54" i="4" s="1"/>
  <c r="M58" i="4"/>
  <c r="W58" i="4" s="1" a="1"/>
  <c r="W58" i="4" s="1"/>
  <c r="P84" i="4"/>
  <c r="R84" i="4" s="1"/>
  <c r="M94" i="4"/>
  <c r="W94" i="4" s="1" a="1"/>
  <c r="W94" i="4" s="1"/>
  <c r="M105" i="4"/>
  <c r="W105" i="4" s="1" a="1"/>
  <c r="W105" i="4" s="1"/>
  <c r="M120" i="4"/>
  <c r="V120" i="4" s="1"/>
  <c r="P124" i="4"/>
  <c r="Q124" i="4" s="1"/>
  <c r="S124" i="4" s="1"/>
  <c r="P139" i="4"/>
  <c r="R139" i="4" s="1"/>
  <c r="J142" i="4"/>
  <c r="P143" i="4"/>
  <c r="R143" i="4" s="1"/>
  <c r="J160" i="4"/>
  <c r="U160" i="4" s="1" a="1"/>
  <c r="U160" i="4" s="1"/>
  <c r="M172" i="4"/>
  <c r="W172" i="4" s="1" a="1"/>
  <c r="W172" i="4" s="1"/>
  <c r="J175" i="4"/>
  <c r="J179" i="4"/>
  <c r="P121" i="4"/>
  <c r="R121" i="4" s="1"/>
  <c r="W57" i="4" a="1"/>
  <c r="W57" i="4" s="1"/>
  <c r="W106" i="4" a="1"/>
  <c r="W106" i="4" s="1"/>
  <c r="P13" i="4"/>
  <c r="R13" i="4" s="1"/>
  <c r="P21" i="4"/>
  <c r="R21" i="4" s="1"/>
  <c r="M26" i="4"/>
  <c r="W26" i="4" s="1" a="1"/>
  <c r="W26" i="4" s="1"/>
  <c r="P33" i="4"/>
  <c r="R33" i="4" s="1"/>
  <c r="M39" i="4"/>
  <c r="W39" i="4" s="1" a="1"/>
  <c r="W39" i="4" s="1"/>
  <c r="P41" i="4"/>
  <c r="R41" i="4" s="1"/>
  <c r="J59" i="4"/>
  <c r="U59" i="4" s="1" a="1"/>
  <c r="U59" i="4" s="1"/>
  <c r="P69" i="4"/>
  <c r="R69" i="4" s="1"/>
  <c r="P75" i="4"/>
  <c r="R75" i="4" s="1"/>
  <c r="M79" i="4"/>
  <c r="W79" i="4" s="1" a="1"/>
  <c r="W79" i="4" s="1"/>
  <c r="P86" i="4"/>
  <c r="R86" i="4" s="1"/>
  <c r="P92" i="4"/>
  <c r="R92" i="4" s="1"/>
  <c r="M98" i="4"/>
  <c r="M102" i="4"/>
  <c r="P103" i="4"/>
  <c r="R103" i="4" s="1"/>
  <c r="J131" i="4"/>
  <c r="U131" i="4" s="1" a="1"/>
  <c r="U131" i="4" s="1"/>
  <c r="P133" i="4"/>
  <c r="R133" i="4" s="1"/>
  <c r="P144" i="4"/>
  <c r="R144" i="4" s="1"/>
  <c r="J148" i="4"/>
  <c r="U148" i="4" s="1" a="1"/>
  <c r="U148" i="4" s="1"/>
  <c r="J185" i="4"/>
  <c r="M187" i="4"/>
  <c r="J190" i="4"/>
  <c r="U190" i="4" s="1" a="1"/>
  <c r="U190" i="4" s="1"/>
  <c r="J103" i="4"/>
  <c r="J112" i="4"/>
  <c r="T112" i="4" s="1"/>
  <c r="M38" i="4"/>
  <c r="P39" i="4"/>
  <c r="R39" i="4" s="1"/>
  <c r="P45" i="4"/>
  <c r="R45" i="4" s="1"/>
  <c r="P47" i="4"/>
  <c r="R47" i="4" s="1"/>
  <c r="P53" i="4"/>
  <c r="R53" i="4" s="1"/>
  <c r="M59" i="4"/>
  <c r="V59" i="4" s="1"/>
  <c r="M63" i="4"/>
  <c r="M74" i="4"/>
  <c r="J78" i="4"/>
  <c r="U78" i="4" s="1" a="1"/>
  <c r="U78" i="4" s="1"/>
  <c r="M83" i="4"/>
  <c r="P98" i="4"/>
  <c r="R98" i="4" s="1"/>
  <c r="J123" i="4"/>
  <c r="P125" i="4"/>
  <c r="R125" i="4" s="1"/>
  <c r="M130" i="4"/>
  <c r="M131" i="4"/>
  <c r="W131" i="4" s="1" a="1"/>
  <c r="W131" i="4" s="1"/>
  <c r="P136" i="4"/>
  <c r="R136" i="4" s="1"/>
  <c r="J147" i="4"/>
  <c r="T147" i="4" s="1"/>
  <c r="M148" i="4"/>
  <c r="W154" i="4" a="1"/>
  <c r="W154" i="4" s="1"/>
  <c r="P161" i="4"/>
  <c r="R161" i="4" s="1"/>
  <c r="P165" i="4"/>
  <c r="R165" i="4" s="1"/>
  <c r="M171" i="4"/>
  <c r="J184" i="4"/>
  <c r="T184" i="4" s="1"/>
  <c r="M190" i="4"/>
  <c r="V190" i="4" s="1"/>
  <c r="P14" i="4"/>
  <c r="R14" i="4" s="1"/>
  <c r="P18" i="4"/>
  <c r="R18" i="4" s="1"/>
  <c r="P30" i="4"/>
  <c r="R30" i="4" s="1"/>
  <c r="M78" i="4"/>
  <c r="W78" i="4" s="1" a="1"/>
  <c r="W78" i="4" s="1"/>
  <c r="P104" i="4"/>
  <c r="R104" i="4" s="1"/>
  <c r="T125" i="4"/>
  <c r="J156" i="4"/>
  <c r="T156" i="4" s="1"/>
  <c r="M169" i="4"/>
  <c r="J16" i="4"/>
  <c r="T16" i="4" s="1"/>
  <c r="J28" i="4"/>
  <c r="U28" i="4" s="1" a="1"/>
  <c r="U28" i="4" s="1"/>
  <c r="M36" i="4"/>
  <c r="M37" i="4"/>
  <c r="V37" i="4" s="1"/>
  <c r="P38" i="4"/>
  <c r="R38" i="4" s="1"/>
  <c r="J58" i="4"/>
  <c r="M62" i="4"/>
  <c r="V62" i="4" s="1"/>
  <c r="M67" i="4"/>
  <c r="V67" i="4" s="1"/>
  <c r="P78" i="4"/>
  <c r="R78" i="4" s="1"/>
  <c r="M90" i="4"/>
  <c r="W90" i="4" s="1" a="1"/>
  <c r="W90" i="4" s="1"/>
  <c r="M100" i="4"/>
  <c r="W100" i="4" s="1" a="1"/>
  <c r="W100" i="4" s="1"/>
  <c r="M117" i="4"/>
  <c r="V117" i="4" s="1"/>
  <c r="J122" i="4"/>
  <c r="T122" i="4" s="1"/>
  <c r="M135" i="4"/>
  <c r="V135" i="4" s="1"/>
  <c r="U136" i="4" a="1"/>
  <c r="U136" i="4" s="1"/>
  <c r="M143" i="4"/>
  <c r="M147" i="4"/>
  <c r="P148" i="4"/>
  <c r="R148" i="4" s="1"/>
  <c r="P152" i="4"/>
  <c r="R152" i="4" s="1"/>
  <c r="M156" i="4"/>
  <c r="P157" i="4"/>
  <c r="R157" i="4" s="1"/>
  <c r="J163" i="4"/>
  <c r="T163" i="4" s="1"/>
  <c r="P171" i="4"/>
  <c r="R171" i="4" s="1"/>
  <c r="P183" i="4"/>
  <c r="R183" i="4" s="1"/>
  <c r="P184" i="4"/>
  <c r="R184" i="4" s="1"/>
  <c r="P186" i="4"/>
  <c r="R186" i="4" s="1"/>
  <c r="J189" i="4"/>
  <c r="U189" i="4" s="1" a="1"/>
  <c r="U189" i="4" s="1"/>
  <c r="Q116" i="4"/>
  <c r="S116" i="4" s="1"/>
  <c r="T109" i="4"/>
  <c r="T110" i="4"/>
  <c r="P123" i="4"/>
  <c r="R123" i="4" s="1"/>
  <c r="J140" i="4"/>
  <c r="P147" i="4"/>
  <c r="R147" i="4" s="1"/>
  <c r="J167" i="4"/>
  <c r="T167" i="4" s="1"/>
  <c r="J168" i="4"/>
  <c r="T168" i="4" s="1"/>
  <c r="J174" i="4"/>
  <c r="U174" i="4" s="1" a="1"/>
  <c r="U174" i="4" s="1"/>
  <c r="U46" i="4" a="1"/>
  <c r="U46" i="4" s="1"/>
  <c r="J20" i="4"/>
  <c r="P25" i="4"/>
  <c r="R25" i="4" s="1"/>
  <c r="J34" i="4"/>
  <c r="J40" i="4"/>
  <c r="U40" i="4" s="1" a="1"/>
  <c r="U40" i="4" s="1"/>
  <c r="J41" i="4"/>
  <c r="M43" i="4"/>
  <c r="V43" i="4" s="1"/>
  <c r="J50" i="4"/>
  <c r="U50" i="4" s="1" a="1"/>
  <c r="U50" i="4" s="1"/>
  <c r="P58" i="4"/>
  <c r="R58" i="4" s="1"/>
  <c r="J65" i="4"/>
  <c r="J66" i="4"/>
  <c r="U66" i="4" s="1" a="1"/>
  <c r="U66" i="4" s="1"/>
  <c r="M72" i="4"/>
  <c r="Q72" i="4" s="1"/>
  <c r="S72" i="4" s="1"/>
  <c r="V73" i="4"/>
  <c r="P76" i="4"/>
  <c r="R76" i="4" s="1"/>
  <c r="M87" i="4"/>
  <c r="J88" i="4"/>
  <c r="U88" i="4" s="1" a="1"/>
  <c r="U88" i="4" s="1"/>
  <c r="J93" i="4"/>
  <c r="P95" i="4"/>
  <c r="R95" i="4" s="1"/>
  <c r="P107" i="4"/>
  <c r="R107" i="4" s="1"/>
  <c r="P114" i="4"/>
  <c r="R114" i="4" s="1"/>
  <c r="T116" i="4"/>
  <c r="M121" i="4"/>
  <c r="V124" i="4"/>
  <c r="M127" i="4"/>
  <c r="W127" i="4" s="1" a="1"/>
  <c r="W127" i="4" s="1"/>
  <c r="P128" i="4"/>
  <c r="R128" i="4" s="1"/>
  <c r="M138" i="4"/>
  <c r="V138" i="4" s="1"/>
  <c r="P141" i="4"/>
  <c r="R141" i="4" s="1"/>
  <c r="J155" i="4"/>
  <c r="U155" i="4" s="1" a="1"/>
  <c r="U155" i="4" s="1"/>
  <c r="V164" i="4"/>
  <c r="M174" i="4"/>
  <c r="P176" i="4"/>
  <c r="R176" i="4" s="1"/>
  <c r="P182" i="4"/>
  <c r="R182" i="4" s="1"/>
  <c r="V184" i="4"/>
  <c r="P189" i="4"/>
  <c r="R189" i="4" s="1"/>
  <c r="M23" i="4"/>
  <c r="W23" i="4" s="1" a="1"/>
  <c r="W23" i="4" s="1"/>
  <c r="P29" i="4"/>
  <c r="R29" i="4" s="1"/>
  <c r="J33" i="4"/>
  <c r="T33" i="4" s="1"/>
  <c r="M35" i="4"/>
  <c r="V35" i="4" s="1"/>
  <c r="J56" i="4"/>
  <c r="T56" i="4" s="1"/>
  <c r="M61" i="4"/>
  <c r="W61" i="4" s="1" a="1"/>
  <c r="W61" i="4" s="1"/>
  <c r="M66" i="4"/>
  <c r="V66" i="4" s="1"/>
  <c r="J70" i="4"/>
  <c r="M88" i="4"/>
  <c r="V88" i="4" s="1"/>
  <c r="P89" i="4"/>
  <c r="R89" i="4" s="1"/>
  <c r="M134" i="4"/>
  <c r="P142" i="4"/>
  <c r="R142" i="4" s="1"/>
  <c r="U146" i="4" a="1"/>
  <c r="U146" i="4" s="1"/>
  <c r="P150" i="4"/>
  <c r="R150" i="4" s="1"/>
  <c r="P168" i="4"/>
  <c r="R168" i="4" s="1"/>
  <c r="P174" i="4"/>
  <c r="R174" i="4" s="1"/>
  <c r="M188" i="4"/>
  <c r="V188" i="4" s="1"/>
  <c r="P197" i="4"/>
  <c r="R197" i="4" s="1"/>
  <c r="J18" i="4"/>
  <c r="P42" i="4"/>
  <c r="R42" i="4" s="1"/>
  <c r="J45" i="4"/>
  <c r="T45" i="4" s="1"/>
  <c r="M54" i="4"/>
  <c r="J64" i="4"/>
  <c r="U64" i="4" s="1" a="1"/>
  <c r="U64" i="4" s="1"/>
  <c r="P66" i="4"/>
  <c r="R66" i="4" s="1"/>
  <c r="J79" i="4"/>
  <c r="U79" i="4" s="1" a="1"/>
  <c r="U79" i="4" s="1"/>
  <c r="M86" i="4"/>
  <c r="V86" i="4" s="1"/>
  <c r="M103" i="4"/>
  <c r="P106" i="4"/>
  <c r="R106" i="4" s="1"/>
  <c r="M112" i="4"/>
  <c r="M132" i="4"/>
  <c r="M149" i="4"/>
  <c r="J153" i="4"/>
  <c r="U153" i="4" s="1" a="1"/>
  <c r="U153" i="4" s="1"/>
  <c r="P166" i="4"/>
  <c r="R166" i="4" s="1"/>
  <c r="P173" i="4"/>
  <c r="R173" i="4" s="1"/>
  <c r="P180" i="4"/>
  <c r="R180" i="4" s="1"/>
  <c r="J195" i="4"/>
  <c r="T195" i="4" s="1"/>
  <c r="T60" i="4"/>
  <c r="U60" i="4" a="1"/>
  <c r="U60" i="4" s="1"/>
  <c r="U26" i="4" a="1"/>
  <c r="U26" i="4" s="1"/>
  <c r="U91" i="4" a="1"/>
  <c r="U91" i="4" s="1"/>
  <c r="T91" i="4"/>
  <c r="U143" i="4" a="1"/>
  <c r="U143" i="4" s="1"/>
  <c r="T143" i="4"/>
  <c r="U75" i="4" a="1"/>
  <c r="U75" i="4" s="1"/>
  <c r="T75" i="4"/>
  <c r="U97" i="4" a="1"/>
  <c r="U97" i="4" s="1"/>
  <c r="U15" i="4" a="1"/>
  <c r="U15" i="4" s="1"/>
  <c r="U166" i="4" a="1"/>
  <c r="U166" i="4" s="1"/>
  <c r="U72" i="4" a="1"/>
  <c r="U72" i="4" s="1"/>
  <c r="U133" i="4" a="1"/>
  <c r="U133" i="4" s="1"/>
  <c r="U113" i="4" a="1"/>
  <c r="U113" i="4" s="1"/>
  <c r="W44" i="4" a="1"/>
  <c r="W44" i="4" s="1"/>
  <c r="V44" i="4"/>
  <c r="U99" i="4" a="1"/>
  <c r="U99" i="4" s="1"/>
  <c r="W126" i="4" a="1"/>
  <c r="W126" i="4" s="1"/>
  <c r="V126" i="4"/>
  <c r="U30" i="4" a="1"/>
  <c r="U30" i="4" s="1"/>
  <c r="U81" i="4" a="1"/>
  <c r="U81" i="4" s="1"/>
  <c r="U76" i="4" a="1"/>
  <c r="U76" i="4" s="1"/>
  <c r="W192" i="4" a="1"/>
  <c r="W192" i="4" s="1"/>
  <c r="V192" i="4"/>
  <c r="T100" i="4"/>
  <c r="U100" i="4" a="1"/>
  <c r="U100" i="4" s="1"/>
  <c r="U31" i="4" a="1"/>
  <c r="U31" i="4" s="1"/>
  <c r="T25" i="4"/>
  <c r="U53" i="4" a="1"/>
  <c r="U53" i="4" s="1"/>
  <c r="U165" i="4" a="1"/>
  <c r="U165" i="4" s="1"/>
  <c r="U196" i="4" a="1"/>
  <c r="U196" i="4" s="1"/>
  <c r="U69" i="4" a="1"/>
  <c r="U69" i="4" s="1"/>
  <c r="U102" i="4" a="1"/>
  <c r="U102" i="4" s="1"/>
  <c r="T102" i="4"/>
  <c r="V136" i="4"/>
  <c r="W136" i="4" a="1"/>
  <c r="W136" i="4" s="1"/>
  <c r="Q145" i="4"/>
  <c r="S145" i="4" s="1"/>
  <c r="U145" i="4" a="1"/>
  <c r="U145" i="4" s="1"/>
  <c r="T145" i="4"/>
  <c r="U83" i="4" a="1"/>
  <c r="U83" i="4" s="1"/>
  <c r="T83" i="4"/>
  <c r="U159" i="4" a="1"/>
  <c r="U159" i="4" s="1"/>
  <c r="W197" i="4" a="1"/>
  <c r="W197" i="4" s="1"/>
  <c r="V197" i="4"/>
  <c r="T21" i="4"/>
  <c r="U21" i="4" a="1"/>
  <c r="U21" i="4" s="1"/>
  <c r="W166" i="4" a="1"/>
  <c r="W166" i="4" s="1"/>
  <c r="U176" i="4" a="1"/>
  <c r="U176" i="4" s="1"/>
  <c r="M50" i="4"/>
  <c r="U51" i="4" a="1"/>
  <c r="U51" i="4" s="1"/>
  <c r="M122" i="4"/>
  <c r="J188" i="4"/>
  <c r="M84" i="4"/>
  <c r="P90" i="4"/>
  <c r="R90" i="4" s="1"/>
  <c r="M97" i="4"/>
  <c r="U144" i="4" a="1"/>
  <c r="U144" i="4" s="1"/>
  <c r="M161" i="4"/>
  <c r="T162" i="4"/>
  <c r="Q192" i="4"/>
  <c r="S192" i="4" s="1"/>
  <c r="M195" i="4"/>
  <c r="U193" i="4" l="1" a="1"/>
  <c r="U193" i="4" s="1"/>
  <c r="T193" i="4"/>
  <c r="T22" i="4"/>
  <c r="U22" i="4" a="1"/>
  <c r="U22" i="4" s="1"/>
  <c r="T105" i="4"/>
  <c r="U105" i="4" a="1"/>
  <c r="U105" i="4" s="1"/>
  <c r="V12" i="4"/>
  <c r="W12" i="4" a="1"/>
  <c r="W12" i="4" s="1"/>
  <c r="Q132" i="4"/>
  <c r="S132" i="4" s="1"/>
  <c r="W82" i="4" a="1"/>
  <c r="W82" i="4" s="1"/>
  <c r="V82" i="4"/>
  <c r="R31" i="4"/>
  <c r="Q31" i="4"/>
  <c r="S31" i="4" s="1"/>
  <c r="U101" i="4" a="1"/>
  <c r="U101" i="4" s="1"/>
  <c r="T101" i="4"/>
  <c r="R164" i="4"/>
  <c r="Q164" i="4"/>
  <c r="S164" i="4" s="1"/>
  <c r="V119" i="4"/>
  <c r="W119" i="4" a="1"/>
  <c r="W119" i="4" s="1"/>
  <c r="U117" i="4" a="1"/>
  <c r="U117" i="4" s="1"/>
  <c r="T117" i="4"/>
  <c r="U19" i="4" a="1"/>
  <c r="U19" i="4" s="1"/>
  <c r="T19" i="4"/>
  <c r="U29" i="4" a="1"/>
  <c r="U29" i="4" s="1"/>
  <c r="T29" i="4"/>
  <c r="V173" i="4"/>
  <c r="W173" i="4" a="1"/>
  <c r="W173" i="4" s="1"/>
  <c r="T129" i="4"/>
  <c r="U129" i="4" a="1"/>
  <c r="U129" i="4" s="1"/>
  <c r="Q109" i="4"/>
  <c r="S109" i="4" s="1"/>
  <c r="T87" i="4"/>
  <c r="V95" i="4"/>
  <c r="W109" i="4" a="1"/>
  <c r="W109" i="4" s="1"/>
  <c r="Q154" i="4"/>
  <c r="S154" i="4" s="1"/>
  <c r="T39" i="4"/>
  <c r="U194" i="4" a="1"/>
  <c r="U194" i="4" s="1"/>
  <c r="T130" i="4"/>
  <c r="Q71" i="4"/>
  <c r="S71" i="4" s="1"/>
  <c r="Q51" i="4"/>
  <c r="S51" i="4" s="1"/>
  <c r="V177" i="4"/>
  <c r="W27" i="4" a="1"/>
  <c r="W27" i="4" s="1"/>
  <c r="V153" i="4"/>
  <c r="U119" i="4" a="1"/>
  <c r="U119" i="4" s="1"/>
  <c r="U36" i="4" a="1"/>
  <c r="U36" i="4" s="1"/>
  <c r="Q102" i="4"/>
  <c r="S102" i="4" s="1"/>
  <c r="V172" i="4"/>
  <c r="U115" i="4" a="1"/>
  <c r="U115" i="4" s="1"/>
  <c r="T148" i="4"/>
  <c r="Q39" i="4"/>
  <c r="S39" i="4" s="1"/>
  <c r="U23" i="4" a="1"/>
  <c r="U23" i="4" s="1"/>
  <c r="Q196" i="4"/>
  <c r="S196" i="4" s="1"/>
  <c r="W77" i="4" a="1"/>
  <c r="W77" i="4" s="1"/>
  <c r="U108" i="4" a="1"/>
  <c r="U108" i="4" s="1"/>
  <c r="W29" i="4" a="1"/>
  <c r="W29" i="4" s="1"/>
  <c r="W118" i="4" a="1"/>
  <c r="W118" i="4" s="1"/>
  <c r="V101" i="4"/>
  <c r="V162" i="4"/>
  <c r="T12" i="4"/>
  <c r="Q81" i="4"/>
  <c r="S81" i="4" s="1"/>
  <c r="Q44" i="4"/>
  <c r="S44" i="4" s="1"/>
  <c r="Q73" i="4"/>
  <c r="S73" i="4" s="1"/>
  <c r="T17" i="4"/>
  <c r="V194" i="4"/>
  <c r="W139" i="4" a="1"/>
  <c r="W139" i="4" s="1"/>
  <c r="Q146" i="4"/>
  <c r="S146" i="4" s="1"/>
  <c r="U98" i="4" a="1"/>
  <c r="U98" i="4" s="1"/>
  <c r="Q82" i="4"/>
  <c r="S82" i="4" s="1"/>
  <c r="U104" i="4" a="1"/>
  <c r="U104" i="4" s="1"/>
  <c r="V89" i="4"/>
  <c r="W193" i="4" a="1"/>
  <c r="W193" i="4" s="1"/>
  <c r="Q60" i="4"/>
  <c r="S60" i="4" s="1"/>
  <c r="W141" i="4" a="1"/>
  <c r="W141" i="4" s="1"/>
  <c r="V33" i="4"/>
  <c r="V60" i="4"/>
  <c r="T120" i="4"/>
  <c r="U134" i="4" a="1"/>
  <c r="U134" i="4" s="1"/>
  <c r="U61" i="4" a="1"/>
  <c r="U61" i="4" s="1"/>
  <c r="V100" i="4"/>
  <c r="T64" i="4"/>
  <c r="Q118" i="4"/>
  <c r="S118" i="4" s="1"/>
  <c r="Q12" i="4"/>
  <c r="T160" i="4"/>
  <c r="W68" i="4" a="1"/>
  <c r="W68" i="4" s="1"/>
  <c r="U137" i="4" a="1"/>
  <c r="U137" i="4" s="1"/>
  <c r="Q160" i="4"/>
  <c r="S160" i="4" s="1"/>
  <c r="V105" i="4"/>
  <c r="T95" i="4"/>
  <c r="V85" i="4"/>
  <c r="U163" i="4" a="1"/>
  <c r="U163" i="4" s="1"/>
  <c r="Q24" i="4"/>
  <c r="S24" i="4" s="1"/>
  <c r="U180" i="4" a="1"/>
  <c r="U180" i="4" s="1"/>
  <c r="W188" i="4" a="1"/>
  <c r="W188" i="4" s="1"/>
  <c r="V16" i="4"/>
  <c r="Q193" i="4"/>
  <c r="S193" i="4" s="1"/>
  <c r="W47" i="4" a="1"/>
  <c r="W47" i="4" s="1"/>
  <c r="W191" i="4" a="1"/>
  <c r="W191" i="4" s="1"/>
  <c r="W138" i="4" a="1"/>
  <c r="W138" i="4" s="1"/>
  <c r="T149" i="4"/>
  <c r="Q77" i="4"/>
  <c r="S77" i="4" s="1"/>
  <c r="V41" i="4"/>
  <c r="W72" i="4" a="1"/>
  <c r="W72" i="4" s="1"/>
  <c r="Q167" i="4"/>
  <c r="S167" i="4" s="1"/>
  <c r="U197" i="4" a="1"/>
  <c r="U197" i="4" s="1"/>
  <c r="U74" i="4" a="1"/>
  <c r="U74" i="4" s="1"/>
  <c r="U167" i="4" a="1"/>
  <c r="U167" i="4" s="1"/>
  <c r="W176" i="4" a="1"/>
  <c r="W176" i="4" s="1"/>
  <c r="V25" i="4"/>
  <c r="Q119" i="4"/>
  <c r="S119" i="4" s="1"/>
  <c r="W14" i="4" a="1"/>
  <c r="W14" i="4" s="1"/>
  <c r="Q63" i="4"/>
  <c r="S63" i="4" s="1"/>
  <c r="Q27" i="4"/>
  <c r="S27" i="4" s="1"/>
  <c r="W64" i="4" a="1"/>
  <c r="W64" i="4" s="1"/>
  <c r="U114" i="4" a="1"/>
  <c r="U114" i="4" s="1"/>
  <c r="U67" i="4" a="1"/>
  <c r="U67" i="4" s="1"/>
  <c r="Q55" i="4"/>
  <c r="S55" i="4" s="1"/>
  <c r="V28" i="4"/>
  <c r="W170" i="4" a="1"/>
  <c r="W170" i="4" s="1"/>
  <c r="V93" i="4"/>
  <c r="V55" i="4"/>
  <c r="U187" i="4" a="1"/>
  <c r="U187" i="4" s="1"/>
  <c r="U106" i="4" a="1"/>
  <c r="U106" i="4" s="1"/>
  <c r="V168" i="4"/>
  <c r="W91" i="4" a="1"/>
  <c r="W91" i="4" s="1"/>
  <c r="V123" i="4"/>
  <c r="U55" i="4" a="1"/>
  <c r="U55" i="4" s="1"/>
  <c r="V90" i="4"/>
  <c r="Q115" i="4"/>
  <c r="S115" i="4" s="1"/>
  <c r="Q91" i="4"/>
  <c r="S91" i="4" s="1"/>
  <c r="W22" i="4" a="1"/>
  <c r="W22" i="4" s="1"/>
  <c r="Q49" i="4"/>
  <c r="S49" i="4" s="1"/>
  <c r="Q52" i="4"/>
  <c r="S52" i="4" s="1"/>
  <c r="V189" i="4"/>
  <c r="T80" i="4"/>
  <c r="R124" i="4"/>
  <c r="Q151" i="4"/>
  <c r="S151" i="4" s="1"/>
  <c r="W120" i="4" a="1"/>
  <c r="W120" i="4" s="1"/>
  <c r="W163" i="4" a="1"/>
  <c r="W163" i="4" s="1"/>
  <c r="T40" i="4"/>
  <c r="W185" i="4" a="1"/>
  <c r="W185" i="4" s="1"/>
  <c r="V129" i="4"/>
  <c r="W86" i="4" a="1"/>
  <c r="W86" i="4" s="1"/>
  <c r="T173" i="4"/>
  <c r="Q172" i="4"/>
  <c r="S172" i="4" s="1"/>
  <c r="Q14" i="4"/>
  <c r="S14" i="4" s="1"/>
  <c r="Q15" i="4"/>
  <c r="S15" i="4" s="1"/>
  <c r="V18" i="4"/>
  <c r="T178" i="4"/>
  <c r="Q187" i="4"/>
  <c r="S187" i="4" s="1"/>
  <c r="T48" i="4"/>
  <c r="V158" i="4"/>
  <c r="Q149" i="4"/>
  <c r="S149" i="4" s="1"/>
  <c r="Q123" i="4"/>
  <c r="S123" i="4" s="1"/>
  <c r="Q35" i="4"/>
  <c r="S35" i="4" s="1"/>
  <c r="W115" i="4" a="1"/>
  <c r="W115" i="4" s="1"/>
  <c r="V52" i="4"/>
  <c r="U147" i="4" a="1"/>
  <c r="U147" i="4" s="1"/>
  <c r="V61" i="4"/>
  <c r="V110" i="4"/>
  <c r="Q139" i="4"/>
  <c r="S139" i="4" s="1"/>
  <c r="Q169" i="4"/>
  <c r="S169" i="4" s="1"/>
  <c r="S12" i="4"/>
  <c r="Q92" i="4"/>
  <c r="S92" i="4" s="1"/>
  <c r="R12" i="4"/>
  <c r="T118" i="4"/>
  <c r="Q19" i="4"/>
  <c r="S19" i="4" s="1"/>
  <c r="T128" i="4"/>
  <c r="U195" i="4" a="1"/>
  <c r="U195" i="4" s="1"/>
  <c r="U118" i="4" a="1"/>
  <c r="U118" i="4" s="1"/>
  <c r="Q100" i="4"/>
  <c r="S100" i="4" s="1"/>
  <c r="Q179" i="4"/>
  <c r="S179" i="4" s="1"/>
  <c r="Q97" i="4"/>
  <c r="S97" i="4" s="1"/>
  <c r="V19" i="4"/>
  <c r="V127" i="4"/>
  <c r="Q138" i="4"/>
  <c r="S138" i="4" s="1"/>
  <c r="T78" i="4"/>
  <c r="U68" i="4" a="1"/>
  <c r="U68" i="4" s="1"/>
  <c r="U121" i="4" a="1"/>
  <c r="U121" i="4" s="1"/>
  <c r="Q80" i="4"/>
  <c r="S80" i="4" s="1"/>
  <c r="T27" i="4"/>
  <c r="W37" i="4" a="1"/>
  <c r="W37" i="4" s="1"/>
  <c r="T5" i="11"/>
  <c r="U7" i="11"/>
  <c r="U6" i="11"/>
  <c r="U5" i="11"/>
  <c r="T7" i="11"/>
  <c r="S6" i="11"/>
  <c r="S5" i="11"/>
  <c r="S7" i="11"/>
  <c r="T6" i="11"/>
  <c r="Q161" i="4"/>
  <c r="S161" i="4" s="1"/>
  <c r="T155" i="4"/>
  <c r="Q62" i="4"/>
  <c r="S62" i="4" s="1"/>
  <c r="Q57" i="4"/>
  <c r="S57" i="4" s="1"/>
  <c r="V167" i="4"/>
  <c r="Q126" i="4"/>
  <c r="S126" i="4" s="1"/>
  <c r="W66" i="4" a="1"/>
  <c r="W66" i="4" s="1"/>
  <c r="Q120" i="4"/>
  <c r="S120" i="4" s="1"/>
  <c r="Q168" i="4"/>
  <c r="S168" i="4" s="1"/>
  <c r="T59" i="4"/>
  <c r="Q22" i="4"/>
  <c r="S22" i="4" s="1"/>
  <c r="T107" i="4"/>
  <c r="W175" i="4" a="1"/>
  <c r="W175" i="4" s="1"/>
  <c r="W167" i="4" a="1"/>
  <c r="W167" i="4" s="1"/>
  <c r="Q65" i="4"/>
  <c r="S65" i="4" s="1"/>
  <c r="T88" i="4"/>
  <c r="T62" i="4"/>
  <c r="U35" i="4" a="1"/>
  <c r="U35" i="4" s="1"/>
  <c r="W35" i="4" a="1"/>
  <c r="W35" i="4" s="1"/>
  <c r="V131" i="4"/>
  <c r="V179" i="4"/>
  <c r="V34" i="4"/>
  <c r="V142" i="4"/>
  <c r="Q105" i="4"/>
  <c r="S105" i="4" s="1"/>
  <c r="T190" i="4"/>
  <c r="Q13" i="4"/>
  <c r="S13" i="4" s="1"/>
  <c r="T158" i="4"/>
  <c r="W108" i="4" a="1"/>
  <c r="W108" i="4" s="1"/>
  <c r="V155" i="4"/>
  <c r="U122" i="4" a="1"/>
  <c r="U122" i="4" s="1"/>
  <c r="Q177" i="4"/>
  <c r="S177" i="4" s="1"/>
  <c r="U42" i="4" a="1"/>
  <c r="U42" i="4" s="1"/>
  <c r="V63" i="4"/>
  <c r="Q135" i="4"/>
  <c r="S135" i="4" s="1"/>
  <c r="U156" i="4" a="1"/>
  <c r="U156" i="4" s="1"/>
  <c r="Q76" i="4"/>
  <c r="S76" i="4" s="1"/>
  <c r="Q113" i="4"/>
  <c r="S113" i="4" s="1"/>
  <c r="Q110" i="4"/>
  <c r="S110" i="4" s="1"/>
  <c r="V20" i="4"/>
  <c r="W59" i="4" a="1"/>
  <c r="W59" i="4" s="1"/>
  <c r="U33" i="4" a="1"/>
  <c r="U33" i="4" s="1"/>
  <c r="R111" i="4"/>
  <c r="V40" i="4"/>
  <c r="Q159" i="4"/>
  <c r="S159" i="4" s="1"/>
  <c r="Q61" i="4"/>
  <c r="S61" i="4" s="1"/>
  <c r="W135" i="4" a="1"/>
  <c r="W135" i="4" s="1"/>
  <c r="T186" i="4"/>
  <c r="W137" i="4" a="1"/>
  <c r="W137" i="4" s="1"/>
  <c r="Q33" i="4"/>
  <c r="S33" i="4" s="1"/>
  <c r="U90" i="4" a="1"/>
  <c r="U90" i="4" s="1"/>
  <c r="Q36" i="4"/>
  <c r="S36" i="4" s="1"/>
  <c r="Q68" i="4"/>
  <c r="S68" i="4" s="1"/>
  <c r="V65" i="4"/>
  <c r="Q158" i="4"/>
  <c r="S158" i="4" s="1"/>
  <c r="Q178" i="4"/>
  <c r="S178" i="4" s="1"/>
  <c r="Q155" i="4"/>
  <c r="S155" i="4" s="1"/>
  <c r="U89" i="4" a="1"/>
  <c r="U89" i="4" s="1"/>
  <c r="T89" i="4"/>
  <c r="T35" i="4"/>
  <c r="Q197" i="4"/>
  <c r="S197" i="4" s="1"/>
  <c r="Q96" i="4"/>
  <c r="S96" i="4" s="1"/>
  <c r="Q127" i="4"/>
  <c r="S127" i="4" s="1"/>
  <c r="Q194" i="4"/>
  <c r="S194" i="4" s="1"/>
  <c r="Q34" i="4"/>
  <c r="S34" i="4" s="1"/>
  <c r="T174" i="4"/>
  <c r="W75" i="4" a="1"/>
  <c r="W75" i="4" s="1"/>
  <c r="Q93" i="4"/>
  <c r="S93" i="4" s="1"/>
  <c r="Q74" i="4"/>
  <c r="S74" i="4" s="1"/>
  <c r="V76" i="4"/>
  <c r="G5" i="1" a="1"/>
  <c r="G5" i="1" s="1"/>
  <c r="H5" i="1" a="1"/>
  <c r="H5" i="1" s="1"/>
  <c r="F5" i="1" a="1"/>
  <c r="F5" i="1" s="1"/>
  <c r="H4" i="1" a="1"/>
  <c r="H4" i="1" s="1"/>
  <c r="G4" i="1" a="1"/>
  <c r="G4" i="1" s="1"/>
  <c r="F3" i="1" a="1"/>
  <c r="F3" i="1" s="1"/>
  <c r="F4" i="1" a="1"/>
  <c r="F4" i="1" s="1"/>
  <c r="H3" i="1" a="1"/>
  <c r="H3" i="1" s="1"/>
  <c r="G3" i="1" a="1"/>
  <c r="G3" i="1" s="1"/>
  <c r="W17" i="4" a="1"/>
  <c r="W17" i="4" s="1"/>
  <c r="Q133" i="4"/>
  <c r="S133" i="4" s="1"/>
  <c r="Q94" i="4"/>
  <c r="S94" i="4" s="1"/>
  <c r="T126" i="4"/>
  <c r="T191" i="4"/>
  <c r="Q140" i="4"/>
  <c r="S140" i="4" s="1"/>
  <c r="Q131" i="4"/>
  <c r="S131" i="4" s="1"/>
  <c r="Q129" i="4"/>
  <c r="S129" i="4" s="1"/>
  <c r="Q21" i="4"/>
  <c r="S21" i="4" s="1"/>
  <c r="Q186" i="4"/>
  <c r="S186" i="4" s="1"/>
  <c r="T172" i="4"/>
  <c r="U161" i="4" a="1"/>
  <c r="U161" i="4" s="1"/>
  <c r="T161" i="4"/>
  <c r="U171" i="4" a="1"/>
  <c r="U171" i="4" s="1"/>
  <c r="T14" i="4"/>
  <c r="U177" i="4" a="1"/>
  <c r="U177" i="4" s="1"/>
  <c r="U172" i="4" a="1"/>
  <c r="U172" i="4" s="1"/>
  <c r="Q37" i="4"/>
  <c r="S37" i="4" s="1"/>
  <c r="V178" i="4"/>
  <c r="Q134" i="4"/>
  <c r="S134" i="4" s="1"/>
  <c r="Q108" i="4"/>
  <c r="S108" i="4" s="1"/>
  <c r="U14" i="4" a="1"/>
  <c r="U14" i="4" s="1"/>
  <c r="W178" i="4" a="1"/>
  <c r="W178" i="4" s="1"/>
  <c r="Q98" i="4"/>
  <c r="S98" i="4" s="1"/>
  <c r="W114" i="4" a="1"/>
  <c r="W114" i="4" s="1"/>
  <c r="V114" i="4"/>
  <c r="U43" i="4" a="1"/>
  <c r="U43" i="4" s="1"/>
  <c r="Q143" i="4"/>
  <c r="S143" i="4" s="1"/>
  <c r="U45" i="4" a="1"/>
  <c r="U45" i="4" s="1"/>
  <c r="Q32" i="4"/>
  <c r="S32" i="4" s="1"/>
  <c r="V94" i="4"/>
  <c r="T85" i="4"/>
  <c r="U168" i="4" a="1"/>
  <c r="U168" i="4" s="1"/>
  <c r="Q40" i="4"/>
  <c r="S40" i="4" s="1"/>
  <c r="Q18" i="4"/>
  <c r="S18" i="4" s="1"/>
  <c r="Q87" i="4"/>
  <c r="S87" i="4" s="1"/>
  <c r="Q125" i="4"/>
  <c r="S125" i="4" s="1"/>
  <c r="Q171" i="4"/>
  <c r="S171" i="4" s="1"/>
  <c r="V80" i="4"/>
  <c r="Q162" i="4"/>
  <c r="S162" i="4" s="1"/>
  <c r="U170" i="4" a="1"/>
  <c r="U170" i="4" s="1"/>
  <c r="Q85" i="4"/>
  <c r="S85" i="4" s="1"/>
  <c r="Q112" i="4"/>
  <c r="S112" i="4" s="1"/>
  <c r="T79" i="4"/>
  <c r="Q26" i="4"/>
  <c r="S26" i="4" s="1"/>
  <c r="W62" i="4" a="1"/>
  <c r="W62" i="4" s="1"/>
  <c r="W180" i="4" a="1"/>
  <c r="W180" i="4" s="1"/>
  <c r="Q170" i="4"/>
  <c r="S170" i="4" s="1"/>
  <c r="T37" i="4"/>
  <c r="Q106" i="4"/>
  <c r="S106" i="4" s="1"/>
  <c r="Q17" i="4"/>
  <c r="S17" i="4" s="1"/>
  <c r="V26" i="4"/>
  <c r="Q42" i="4"/>
  <c r="S42" i="4" s="1"/>
  <c r="Q48" i="4"/>
  <c r="S48" i="4" s="1"/>
  <c r="Q176" i="4"/>
  <c r="S176" i="4" s="1"/>
  <c r="U184" i="4" a="1"/>
  <c r="U184" i="4" s="1"/>
  <c r="Q183" i="4"/>
  <c r="S183" i="4" s="1"/>
  <c r="W53" i="4" a="1"/>
  <c r="W53" i="4" s="1"/>
  <c r="V186" i="4"/>
  <c r="W45" i="4" a="1"/>
  <c r="W45" i="4" s="1"/>
  <c r="V45" i="4"/>
  <c r="U112" i="4" a="1"/>
  <c r="U112" i="4" s="1"/>
  <c r="V42" i="4"/>
  <c r="T189" i="4"/>
  <c r="W63" i="4" a="1"/>
  <c r="W63" i="4" s="1"/>
  <c r="W48" i="4" a="1"/>
  <c r="W48" i="4" s="1"/>
  <c r="W125" i="4" a="1"/>
  <c r="W125" i="4" s="1"/>
  <c r="Q165" i="4"/>
  <c r="S165" i="4" s="1"/>
  <c r="Q191" i="4"/>
  <c r="S191" i="4" s="1"/>
  <c r="V79" i="4"/>
  <c r="W98" i="4" a="1"/>
  <c r="W98" i="4" s="1"/>
  <c r="V125" i="4"/>
  <c r="V104" i="4"/>
  <c r="T66" i="4"/>
  <c r="U175" i="4" a="1"/>
  <c r="U175" i="4" s="1"/>
  <c r="T175" i="4"/>
  <c r="Q137" i="4"/>
  <c r="S137" i="4" s="1"/>
  <c r="W88" i="4" a="1"/>
  <c r="W88" i="4" s="1"/>
  <c r="W143" i="4" a="1"/>
  <c r="W143" i="4" s="1"/>
  <c r="Q56" i="4"/>
  <c r="S56" i="4" s="1"/>
  <c r="Q99" i="4"/>
  <c r="S99" i="4" s="1"/>
  <c r="U38" i="4" a="1"/>
  <c r="U38" i="4" s="1"/>
  <c r="Q128" i="4"/>
  <c r="S128" i="4" s="1"/>
  <c r="U16" i="4" a="1"/>
  <c r="U16" i="4" s="1"/>
  <c r="Q190" i="4"/>
  <c r="S190" i="4" s="1"/>
  <c r="Q181" i="4"/>
  <c r="S181" i="4" s="1"/>
  <c r="Q163" i="4"/>
  <c r="S163" i="4" s="1"/>
  <c r="V70" i="4"/>
  <c r="W21" i="4" a="1"/>
  <c r="W21" i="4" s="1"/>
  <c r="W46" i="4" a="1"/>
  <c r="W46" i="4" s="1"/>
  <c r="V107" i="4"/>
  <c r="W107" i="4" a="1"/>
  <c r="W107" i="4" s="1"/>
  <c r="W190" i="4" a="1"/>
  <c r="W190" i="4" s="1"/>
  <c r="V74" i="4"/>
  <c r="Q16" i="4"/>
  <c r="S16" i="4" s="1"/>
  <c r="Q38" i="4"/>
  <c r="S38" i="4" s="1"/>
  <c r="Q46" i="4"/>
  <c r="S46" i="4" s="1"/>
  <c r="Q79" i="4"/>
  <c r="S79" i="4" s="1"/>
  <c r="V87" i="4"/>
  <c r="V143" i="4"/>
  <c r="U142" i="4" a="1"/>
  <c r="U142" i="4" s="1"/>
  <c r="T142" i="4"/>
  <c r="T28" i="4"/>
  <c r="T153" i="4"/>
  <c r="Q95" i="4"/>
  <c r="S95" i="4" s="1"/>
  <c r="Q121" i="4"/>
  <c r="S121" i="4" s="1"/>
  <c r="Q156" i="4"/>
  <c r="S156" i="4" s="1"/>
  <c r="U54" i="4" a="1"/>
  <c r="U54" i="4" s="1"/>
  <c r="U84" i="4" a="1"/>
  <c r="U84" i="4" s="1"/>
  <c r="T84" i="4"/>
  <c r="W87" i="4" a="1"/>
  <c r="W87" i="4" s="1"/>
  <c r="Q53" i="4"/>
  <c r="S53" i="4" s="1"/>
  <c r="Q175" i="4"/>
  <c r="S175" i="4" s="1"/>
  <c r="Q89" i="4"/>
  <c r="S89" i="4" s="1"/>
  <c r="T86" i="4"/>
  <c r="W171" i="4" a="1"/>
  <c r="W171" i="4" s="1"/>
  <c r="W149" i="4" a="1"/>
  <c r="W149" i="4" s="1"/>
  <c r="Q28" i="4"/>
  <c r="S28" i="4" s="1"/>
  <c r="V171" i="4"/>
  <c r="U179" i="4" a="1"/>
  <c r="U179" i="4" s="1"/>
  <c r="Q153" i="4"/>
  <c r="S153" i="4" s="1"/>
  <c r="V72" i="4"/>
  <c r="Q43" i="4"/>
  <c r="S43" i="4" s="1"/>
  <c r="Q58" i="4"/>
  <c r="S58" i="4" s="1"/>
  <c r="V98" i="4"/>
  <c r="V149" i="4"/>
  <c r="V56" i="4"/>
  <c r="V58" i="4"/>
  <c r="Q101" i="4"/>
  <c r="S101" i="4" s="1"/>
  <c r="T179" i="4"/>
  <c r="V128" i="4"/>
  <c r="W128" i="4" a="1"/>
  <c r="W128" i="4" s="1"/>
  <c r="U139" i="4" a="1"/>
  <c r="U139" i="4" s="1"/>
  <c r="T139" i="4"/>
  <c r="V140" i="4"/>
  <c r="V160" i="4"/>
  <c r="W160" i="4" a="1"/>
  <c r="W160" i="4" s="1"/>
  <c r="W148" i="4" a="1"/>
  <c r="W148" i="4" s="1"/>
  <c r="V148" i="4"/>
  <c r="U185" i="4" a="1"/>
  <c r="U185" i="4" s="1"/>
  <c r="T185" i="4"/>
  <c r="Q114" i="4"/>
  <c r="S114" i="4" s="1"/>
  <c r="Q136" i="4"/>
  <c r="S136" i="4" s="1"/>
  <c r="Q78" i="4"/>
  <c r="S78" i="4" s="1"/>
  <c r="V187" i="4"/>
  <c r="Q47" i="4"/>
  <c r="S47" i="4" s="1"/>
  <c r="T93" i="4"/>
  <c r="U93" i="4" a="1"/>
  <c r="U93" i="4" s="1"/>
  <c r="W147" i="4" a="1"/>
  <c r="W147" i="4" s="1"/>
  <c r="V147" i="4"/>
  <c r="U123" i="4" a="1"/>
  <c r="U123" i="4" s="1"/>
  <c r="T123" i="4"/>
  <c r="U140" i="4" a="1"/>
  <c r="U140" i="4" s="1"/>
  <c r="Q69" i="4"/>
  <c r="S69" i="4" s="1"/>
  <c r="Q174" i="4"/>
  <c r="S174" i="4" s="1"/>
  <c r="W67" i="4" a="1"/>
  <c r="W67" i="4" s="1"/>
  <c r="Q184" i="4"/>
  <c r="S184" i="4" s="1"/>
  <c r="Q166" i="4"/>
  <c r="S166" i="4" s="1"/>
  <c r="Q117" i="4"/>
  <c r="S117" i="4" s="1"/>
  <c r="Q107" i="4"/>
  <c r="S107" i="4" s="1"/>
  <c r="W74" i="4" a="1"/>
  <c r="W74" i="4" s="1"/>
  <c r="U18" i="4" a="1"/>
  <c r="U18" i="4" s="1"/>
  <c r="T18" i="4"/>
  <c r="U70" i="4" a="1"/>
  <c r="U70" i="4" s="1"/>
  <c r="T70" i="4"/>
  <c r="W174" i="4" a="1"/>
  <c r="W174" i="4" s="1"/>
  <c r="V174" i="4"/>
  <c r="Q20" i="4"/>
  <c r="S20" i="4" s="1"/>
  <c r="T20" i="4"/>
  <c r="U20" i="4" a="1"/>
  <c r="U20" i="4" s="1"/>
  <c r="W36" i="4" a="1"/>
  <c r="W36" i="4" s="1"/>
  <c r="V36" i="4"/>
  <c r="W54" i="4" a="1"/>
  <c r="W54" i="4" s="1"/>
  <c r="V54" i="4"/>
  <c r="W43" i="4" a="1"/>
  <c r="W43" i="4" s="1"/>
  <c r="W130" i="4" a="1"/>
  <c r="W130" i="4" s="1"/>
  <c r="V130" i="4"/>
  <c r="U34" i="4" a="1"/>
  <c r="U34" i="4" s="1"/>
  <c r="T34" i="4"/>
  <c r="T140" i="4"/>
  <c r="Q195" i="4"/>
  <c r="S195" i="4" s="1"/>
  <c r="W83" i="4" a="1"/>
  <c r="W83" i="4" s="1"/>
  <c r="V83" i="4"/>
  <c r="Q50" i="4"/>
  <c r="S50" i="4" s="1"/>
  <c r="Q29" i="4"/>
  <c r="S29" i="4" s="1"/>
  <c r="Q144" i="4"/>
  <c r="S144" i="4" s="1"/>
  <c r="Q173" i="4"/>
  <c r="S173" i="4" s="1"/>
  <c r="V38" i="4"/>
  <c r="W117" i="4" a="1"/>
  <c r="W117" i="4" s="1"/>
  <c r="V78" i="4"/>
  <c r="W134" i="4" a="1"/>
  <c r="W134" i="4" s="1"/>
  <c r="W132" i="4" a="1"/>
  <c r="W132" i="4" s="1"/>
  <c r="V132" i="4"/>
  <c r="Q182" i="4"/>
  <c r="S182" i="4" s="1"/>
  <c r="Q54" i="4"/>
  <c r="S54" i="4" s="1"/>
  <c r="Q88" i="4"/>
  <c r="S88" i="4" s="1"/>
  <c r="W38" i="4" a="1"/>
  <c r="W38" i="4" s="1"/>
  <c r="Q86" i="4"/>
  <c r="S86" i="4" s="1"/>
  <c r="V39" i="4"/>
  <c r="Q67" i="4"/>
  <c r="S67" i="4" s="1"/>
  <c r="V134" i="4"/>
  <c r="V112" i="4"/>
  <c r="W112" i="4" a="1"/>
  <c r="W112" i="4" s="1"/>
  <c r="V102" i="4"/>
  <c r="W102" i="4" a="1"/>
  <c r="W102" i="4" s="1"/>
  <c r="Q70" i="4"/>
  <c r="S70" i="4" s="1"/>
  <c r="W121" i="4" a="1"/>
  <c r="W121" i="4" s="1"/>
  <c r="V121" i="4"/>
  <c r="V23" i="4"/>
  <c r="U41" i="4" a="1"/>
  <c r="U41" i="4" s="1"/>
  <c r="T41" i="4"/>
  <c r="U58" i="4" a="1"/>
  <c r="U58" i="4" s="1"/>
  <c r="Q147" i="4"/>
  <c r="S147" i="4" s="1"/>
  <c r="Q23" i="4"/>
  <c r="S23" i="4" s="1"/>
  <c r="W169" i="4" a="1"/>
  <c r="W169" i="4" s="1"/>
  <c r="V169" i="4"/>
  <c r="Q59" i="4"/>
  <c r="S59" i="4" s="1"/>
  <c r="Q148" i="4"/>
  <c r="S148" i="4" s="1"/>
  <c r="W156" i="4" a="1"/>
  <c r="W156" i="4" s="1"/>
  <c r="V156" i="4"/>
  <c r="W187" i="4" a="1"/>
  <c r="W187" i="4" s="1"/>
  <c r="Q150" i="4"/>
  <c r="S150" i="4" s="1"/>
  <c r="Q66" i="4"/>
  <c r="S66" i="4" s="1"/>
  <c r="Q189" i="4"/>
  <c r="S189" i="4" s="1"/>
  <c r="Q104" i="4"/>
  <c r="S104" i="4" s="1"/>
  <c r="W103" i="4" a="1"/>
  <c r="W103" i="4" s="1"/>
  <c r="V103" i="4"/>
  <c r="Q45" i="4"/>
  <c r="S45" i="4" s="1"/>
  <c r="Q185" i="4"/>
  <c r="S185" i="4" s="1"/>
  <c r="Q75" i="4"/>
  <c r="S75" i="4" s="1"/>
  <c r="Q64" i="4"/>
  <c r="S64" i="4" s="1"/>
  <c r="Q142" i="4"/>
  <c r="S142" i="4" s="1"/>
  <c r="Q180" i="4"/>
  <c r="S180" i="4" s="1"/>
  <c r="Q41" i="4"/>
  <c r="S41" i="4" s="1"/>
  <c r="T58" i="4"/>
  <c r="Q152" i="4"/>
  <c r="S152" i="4" s="1"/>
  <c r="T50" i="4"/>
  <c r="Q130" i="4"/>
  <c r="S130" i="4" s="1"/>
  <c r="Q141" i="4"/>
  <c r="S141" i="4" s="1"/>
  <c r="U103" i="4" a="1"/>
  <c r="U103" i="4" s="1"/>
  <c r="T103" i="4"/>
  <c r="Q103" i="4"/>
  <c r="S103" i="4" s="1"/>
  <c r="Q157" i="4"/>
  <c r="S157" i="4" s="1"/>
  <c r="Q83" i="4"/>
  <c r="S83" i="4" s="1"/>
  <c r="U56" i="4" a="1"/>
  <c r="U56" i="4" s="1"/>
  <c r="Q30" i="4"/>
  <c r="S30" i="4" s="1"/>
  <c r="Q25" i="4"/>
  <c r="S25" i="4" s="1"/>
  <c r="U65" i="4" a="1"/>
  <c r="U65" i="4" s="1"/>
  <c r="T65" i="4"/>
  <c r="W84" i="4" a="1"/>
  <c r="W84" i="4" s="1"/>
  <c r="V84" i="4"/>
  <c r="Q84" i="4"/>
  <c r="S84" i="4" s="1"/>
  <c r="W161" i="4" a="1"/>
  <c r="W161" i="4" s="1"/>
  <c r="V161" i="4"/>
  <c r="V97" i="4"/>
  <c r="W97" i="4" a="1"/>
  <c r="W97" i="4" s="1"/>
  <c r="W195" i="4" a="1"/>
  <c r="W195" i="4" s="1"/>
  <c r="V195" i="4"/>
  <c r="U188" i="4" a="1"/>
  <c r="U188" i="4" s="1"/>
  <c r="T188" i="4"/>
  <c r="Q188" i="4"/>
  <c r="S188" i="4" s="1"/>
  <c r="V122" i="4"/>
  <c r="W122" i="4" a="1"/>
  <c r="W122" i="4" s="1"/>
  <c r="Q122" i="4"/>
  <c r="S122" i="4" s="1"/>
  <c r="Q90" i="4"/>
  <c r="S90" i="4" s="1"/>
  <c r="V50" i="4"/>
  <c r="W50" i="4" a="1"/>
  <c r="W50"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<sst xmlns="http://schemas.openxmlformats.org/spreadsheetml/2006/main" count="3088" uniqueCount="598">
  <si>
    <t>Employee Number</t>
  </si>
  <si>
    <t>Employee Name</t>
  </si>
  <si>
    <t>Joining Date</t>
  </si>
  <si>
    <t>Location</t>
  </si>
  <si>
    <t>Department</t>
  </si>
  <si>
    <t>Position</t>
  </si>
  <si>
    <t>App Line Manager</t>
  </si>
  <si>
    <t>Objectives and Competency Score</t>
  </si>
  <si>
    <t>Objectives Score</t>
  </si>
  <si>
    <t>Overall Competency Score</t>
  </si>
  <si>
    <t xml:space="preserve">Perforamnce Zone </t>
  </si>
  <si>
    <t>Potential zone</t>
  </si>
  <si>
    <t>Abdulaziz Abdullah Abdulaziz Al Zehairi</t>
  </si>
  <si>
    <t>29/12/2021</t>
  </si>
  <si>
    <t>Runner Driver</t>
  </si>
  <si>
    <t>Ammar Sami Hassan Subki</t>
  </si>
  <si>
    <t>Abdulmohsen Ibrahim Hamad Almubadel</t>
  </si>
  <si>
    <t>14/11/2021</t>
  </si>
  <si>
    <t>Government Relations and Facilities Assistant Manager</t>
  </si>
  <si>
    <t>NA</t>
  </si>
  <si>
    <t>Alaaeldin Eid ahmed Fadl</t>
  </si>
  <si>
    <t>18/08/2024</t>
  </si>
  <si>
    <t>Office Boy</t>
  </si>
  <si>
    <t>Alaa Mohamed Aly</t>
  </si>
  <si>
    <t>Amr Reda Amer Ghoniem</t>
  </si>
  <si>
    <t>01/06/2022</t>
  </si>
  <si>
    <t>Cecille Ponsica Mago</t>
  </si>
  <si>
    <t>28/08/2023</t>
  </si>
  <si>
    <t>Office Attendant</t>
  </si>
  <si>
    <t xml:space="preserve">Samantha Rose  Coutinho </t>
  </si>
  <si>
    <t>Dina Anwar</t>
  </si>
  <si>
    <t>25/09/2022</t>
  </si>
  <si>
    <t>Admin Assistant</t>
  </si>
  <si>
    <t>Fathy Salaheldin Nasr khedr</t>
  </si>
  <si>
    <t>Ghadeer Youssef Hamed Alharthi</t>
  </si>
  <si>
    <t>04/05/2025</t>
  </si>
  <si>
    <t>Admin Assistant-MMS</t>
  </si>
  <si>
    <t>Karim Nasr abdelsalam Ibrahim</t>
  </si>
  <si>
    <t>01/12/2024</t>
  </si>
  <si>
    <t>Runner</t>
  </si>
  <si>
    <t>Mohamed Hamed Ramadan Abdo Atta</t>
  </si>
  <si>
    <t>Mohamed Awad mohamed Ahmed</t>
  </si>
  <si>
    <t>01/11/2023</t>
  </si>
  <si>
    <t>Mostafa Mohamed Ahmed Mohamed Ali</t>
  </si>
  <si>
    <t>Mostafa Salaheldin Nasr</t>
  </si>
  <si>
    <t>01/12/2023</t>
  </si>
  <si>
    <t xml:space="preserve">Muhammad Ijaz  Khan </t>
  </si>
  <si>
    <t>25/05/2021</t>
  </si>
  <si>
    <t>Driver-MMS</t>
  </si>
  <si>
    <t>Lobna Sherif Mahmoud Kamel Anis</t>
  </si>
  <si>
    <t>01/06/2023</t>
  </si>
  <si>
    <t>Sales Senior Manager</t>
  </si>
  <si>
    <t>Galaleldin Oraby Ahmed Ghanem</t>
  </si>
  <si>
    <t>Adel Mohamed Adeeb Abou Elnasr Mohamed</t>
  </si>
  <si>
    <t>Client Service Senior Supervisor</t>
  </si>
  <si>
    <t>Mahmoud Mohamed Mahmoud Gomaa</t>
  </si>
  <si>
    <t>Ahmed abdelhady  abdelhady mohamed Elshorbagy</t>
  </si>
  <si>
    <t>Sales Supervisor</t>
  </si>
  <si>
    <t>Ahmed Hamed Ibrahim kamel</t>
  </si>
  <si>
    <t>Alaa Mohamed Ahmed Aboelenin Zaghloul</t>
  </si>
  <si>
    <t>01/11/2024</t>
  </si>
  <si>
    <t>Client Service Executive</t>
  </si>
  <si>
    <t>Mahmoud Ibrahim Mohamed Elkholy</t>
  </si>
  <si>
    <t>Amira Mohamed Ali Soliman Soltan</t>
  </si>
  <si>
    <t>Sales Manager</t>
  </si>
  <si>
    <t>Mohamed Elsaeed Soliman Hamza</t>
  </si>
  <si>
    <t>Eslam Emad Mohamed Ahmed Elfouly</t>
  </si>
  <si>
    <t>28/03/2023</t>
  </si>
  <si>
    <t>Fadwa Mahmoud Abdelsamad abdelgelel</t>
  </si>
  <si>
    <t>Yousra Saeed Ahmed Farahat</t>
  </si>
  <si>
    <t>Fatema karim Ashraf Ali Mahgoub</t>
  </si>
  <si>
    <t>17/09/2023</t>
  </si>
  <si>
    <t>Marwa Sayed Abdelhalim Abdelfatah Elsherbiny</t>
  </si>
  <si>
    <t>Haya Maged Abdelrazik</t>
  </si>
  <si>
    <t>23/11/2025</t>
  </si>
  <si>
    <t>Sales Executive</t>
  </si>
  <si>
    <t>Mohamed Gamal Eldeen Mohamed Seweafi</t>
  </si>
  <si>
    <t>Nada Sherif Abdelrahman Sayed Ahmed</t>
  </si>
  <si>
    <t>26/01/2025</t>
  </si>
  <si>
    <t>Nermine Nader Mohamed Hegazy</t>
  </si>
  <si>
    <t>Digital Sales Supervisor</t>
  </si>
  <si>
    <t>Salma Zakareya abdelazim Ahmed Ali</t>
  </si>
  <si>
    <t>01/03/2024</t>
  </si>
  <si>
    <t>Youssef Tarek Younis Kamel</t>
  </si>
  <si>
    <t>12/10/2025</t>
  </si>
  <si>
    <t xml:space="preserve">Jacques  Touma </t>
  </si>
  <si>
    <t>07/02/2021</t>
  </si>
  <si>
    <t>Agency Partnerships Senior Manager</t>
  </si>
  <si>
    <t xml:space="preserve">Richard  William  Edward Addington </t>
  </si>
  <si>
    <t>Michel  Antoine Joumaa</t>
  </si>
  <si>
    <t>10/05/2021</t>
  </si>
  <si>
    <t>Agency Partnerships Associate Director</t>
  </si>
  <si>
    <t xml:space="preserve">Nicholas  Khoury </t>
  </si>
  <si>
    <t>25/10/2020</t>
  </si>
  <si>
    <t>Rinaldo Itani</t>
  </si>
  <si>
    <t>05/08/2024</t>
  </si>
  <si>
    <t>Agency Partnerships Senior Executive</t>
  </si>
  <si>
    <t>Alanoud Waleed Muhammed Almadi</t>
  </si>
  <si>
    <t>23/01/2022</t>
  </si>
  <si>
    <t>Client Growth Senior Executive</t>
  </si>
  <si>
    <t xml:space="preserve">Latifa Hamza Mohamed Shareef A Rahman Al Janahi </t>
  </si>
  <si>
    <t>Assaad Boujawdeh</t>
  </si>
  <si>
    <t>19/09/2021</t>
  </si>
  <si>
    <t>Client Growth Senior Manager</t>
  </si>
  <si>
    <t>Ronald Emile Sawaya</t>
  </si>
  <si>
    <t>Elaf Khalid Almane</t>
  </si>
  <si>
    <t>28/01/2024</t>
  </si>
  <si>
    <t>Karim Zead Soubra</t>
  </si>
  <si>
    <t>Faisal Hamdan Shreda Alanazi</t>
  </si>
  <si>
    <t>05/09/2021</t>
  </si>
  <si>
    <t>Fahad Ali Saad Aldosaree</t>
  </si>
  <si>
    <t>Firas Said Bou Antoun</t>
  </si>
  <si>
    <t>03/08/2021</t>
  </si>
  <si>
    <t>Client Growth Manager</t>
  </si>
  <si>
    <t>Ghala Abdulrahman Alotaibi</t>
  </si>
  <si>
    <t>13/01/2025</t>
  </si>
  <si>
    <t>Shahid Growth Senior Executive</t>
  </si>
  <si>
    <t>Jad Wajdi  Saab</t>
  </si>
  <si>
    <t>Hamad Abdullah Hamad Alhumaid</t>
  </si>
  <si>
    <t>06/03/2022</t>
  </si>
  <si>
    <t>Client Growth Associate Director</t>
  </si>
  <si>
    <t>Ziyad Mohammed Othman Alomair</t>
  </si>
  <si>
    <t>Leenah Hashim Almehdar</t>
  </si>
  <si>
    <t>08/10/2023</t>
  </si>
  <si>
    <t>Marwan Mohamed Albasous</t>
  </si>
  <si>
    <t>01/10/2023</t>
  </si>
  <si>
    <t>Audio Growth Senior Executive</t>
  </si>
  <si>
    <t>Fouad Mohammed Debouk</t>
  </si>
  <si>
    <t>Monerah Ibrahim Alzamil</t>
  </si>
  <si>
    <t>18/02/2024</t>
  </si>
  <si>
    <t>Mudhawi Saad Aloyyidi</t>
  </si>
  <si>
    <t>21/03/2023</t>
  </si>
  <si>
    <t>Audio Growth Manager</t>
  </si>
  <si>
    <t>Norah Abdulaziz Abduallah Alkhayyal</t>
  </si>
  <si>
    <t>18/05/2025</t>
  </si>
  <si>
    <t>Pierre Raif Doumit</t>
  </si>
  <si>
    <t>08/01/2025</t>
  </si>
  <si>
    <t>Shahid Growth Manager</t>
  </si>
  <si>
    <t>Jad Gerges Abou Mitri</t>
  </si>
  <si>
    <t>Razan Faisal Jamaan Alghamdi</t>
  </si>
  <si>
    <t>20/04/2025</t>
  </si>
  <si>
    <t>Client Growth Executive</t>
  </si>
  <si>
    <t>Sultan Faisal Biary</t>
  </si>
  <si>
    <t>20/08/2023</t>
  </si>
  <si>
    <t xml:space="preserve">Abdulkader Abbasbhai Sukhsarwala </t>
  </si>
  <si>
    <t>01/01/2021</t>
  </si>
  <si>
    <t>Senior Digital Yield Analyst</t>
  </si>
  <si>
    <t>Joey Joseph Feghaly</t>
  </si>
  <si>
    <t>Ali Salam Ahmed Ahmed</t>
  </si>
  <si>
    <t>04/09/2023</t>
  </si>
  <si>
    <t>Client Growth Lead</t>
  </si>
  <si>
    <t>Ahmed Attaf Abdulmalik Alsahhaf</t>
  </si>
  <si>
    <t xml:space="preserve">Claire Kabbani </t>
  </si>
  <si>
    <t>Dana Reda Rasmy Boraey</t>
  </si>
  <si>
    <t>01/07/2024</t>
  </si>
  <si>
    <t xml:space="preserve">Sarah Nammour </t>
  </si>
  <si>
    <t>Elio Souheil Khoury</t>
  </si>
  <si>
    <t>17/07/2023</t>
  </si>
  <si>
    <t>Self Serve Manager</t>
  </si>
  <si>
    <t>Ghida Jihad Salem El Husseini</t>
  </si>
  <si>
    <t>01/10/2024</t>
  </si>
  <si>
    <t>Hani Hashem Taha</t>
  </si>
  <si>
    <t>10/12/2023</t>
  </si>
  <si>
    <t>Ibrahim Ben Ahmed</t>
  </si>
  <si>
    <t xml:space="preserve">Juel  Marticho </t>
  </si>
  <si>
    <t>25/11/2020</t>
  </si>
  <si>
    <t>Shahid Planning Operation Executive</t>
  </si>
  <si>
    <t>Laura Nizar Nayef Younes</t>
  </si>
  <si>
    <t>08/07/2024</t>
  </si>
  <si>
    <t xml:space="preserve">Petra Ahwach </t>
  </si>
  <si>
    <t>Adriana Nicolas Khater Verdin</t>
  </si>
  <si>
    <t>24/11/2020</t>
  </si>
  <si>
    <t>Content Solutions Senior Executive</t>
  </si>
  <si>
    <t xml:space="preserve">Mohamad Toufic Ramadan </t>
  </si>
  <si>
    <t>Dana Tfaili</t>
  </si>
  <si>
    <t>01/02/2021</t>
  </si>
  <si>
    <t>Content Solutions Manager</t>
  </si>
  <si>
    <t>Elie Tanios Raad</t>
  </si>
  <si>
    <t>Mashail Osama Albliwi</t>
  </si>
  <si>
    <t>19/01/2025</t>
  </si>
  <si>
    <t>Rami Adib Saoud</t>
  </si>
  <si>
    <t>Nour Hadchiti</t>
  </si>
  <si>
    <t>09/12/2024</t>
  </si>
  <si>
    <t>Ali Imad Younes</t>
  </si>
  <si>
    <t>27/03/2023</t>
  </si>
  <si>
    <t>Youmna Malek Chehab</t>
  </si>
  <si>
    <t>Digital Commercial Manager</t>
  </si>
  <si>
    <t>Nada Abdullah Doman Alotaibi</t>
  </si>
  <si>
    <t>29/10/2023</t>
  </si>
  <si>
    <t>Senior Executive Office Manager– CEO Office</t>
  </si>
  <si>
    <t>Shahad Sultan Saad Alruzayq</t>
  </si>
  <si>
    <t>18/02/2025</t>
  </si>
  <si>
    <t>PMO Senior Manager</t>
  </si>
  <si>
    <t>Abdullah Abdulrahman Abdullah Aldakhil</t>
  </si>
  <si>
    <t>11/05/2025</t>
  </si>
  <si>
    <t>Accountant Executive</t>
  </si>
  <si>
    <t>Mahmoud Soubhe Muhammed Ramadan</t>
  </si>
  <si>
    <t>Eslam Sayed</t>
  </si>
  <si>
    <t>01/08/2023</t>
  </si>
  <si>
    <t>AR Senior Accountant</t>
  </si>
  <si>
    <t>Mohamed Mokhtar Fouad Mohamed</t>
  </si>
  <si>
    <t>Hossam Atef Abdo Mohamed</t>
  </si>
  <si>
    <t>04/08/2024</t>
  </si>
  <si>
    <t>Ibrahim Abdelnaby Elleithy Taha</t>
  </si>
  <si>
    <t>Junior AR Accountant</t>
  </si>
  <si>
    <t>Layal Talal Abdullah Samarkandi</t>
  </si>
  <si>
    <t>01/09/2025</t>
  </si>
  <si>
    <t xml:space="preserve">Accountant Senior Executive </t>
  </si>
  <si>
    <t>Mohamed Fathy Abdel Aziz Aly</t>
  </si>
  <si>
    <t>Collection Officer</t>
  </si>
  <si>
    <t>Mohammed Nasser Bin Nasban</t>
  </si>
  <si>
    <t>01/01/2024</t>
  </si>
  <si>
    <t>Mohannad  Hesham Mohamed Khalaf</t>
  </si>
  <si>
    <t>22/12/2024</t>
  </si>
  <si>
    <t>Treasury Senior Accountant</t>
  </si>
  <si>
    <t>Ahmed mohamed saadeldin gafaar</t>
  </si>
  <si>
    <t>Noor Adbdulrahman Rasheed Alrasheed</t>
  </si>
  <si>
    <t>15/07/2025</t>
  </si>
  <si>
    <t>Samy Abdel Sabour Mohamed Ahmed</t>
  </si>
  <si>
    <t>Hossam Hassan Mohamed Allam</t>
  </si>
  <si>
    <t>23/05/2021</t>
  </si>
  <si>
    <t>Accountant Supervisor</t>
  </si>
  <si>
    <t xml:space="preserve">Faisal Shakeel Shakeel Ahmed </t>
  </si>
  <si>
    <t>09/11/2023</t>
  </si>
  <si>
    <t>Assistant Finance Manager</t>
  </si>
  <si>
    <t xml:space="preserve">George  George </t>
  </si>
  <si>
    <t>Mohamed Emadeldin Mahmoud Mohamed Elsemary</t>
  </si>
  <si>
    <t>07/05/2024</t>
  </si>
  <si>
    <t>Accounting Supervisor</t>
  </si>
  <si>
    <t>22/06/2021</t>
  </si>
  <si>
    <t>Senior Finance Manager</t>
  </si>
  <si>
    <t>Kareem Mohamed Yahya Saad Ibrahim</t>
  </si>
  <si>
    <t>15/11/2023</t>
  </si>
  <si>
    <t>Senior Accountant-MMS</t>
  </si>
  <si>
    <t>Norah Abdullah Hamdan Alhamdan</t>
  </si>
  <si>
    <t>14/09/2025</t>
  </si>
  <si>
    <t>Assistant Treasury Accountant</t>
  </si>
  <si>
    <t>Ahmed Mohamed Samir Abdelaziz Alazrak</t>
  </si>
  <si>
    <t>Ahmed Awny Hamza El Kalaf</t>
  </si>
  <si>
    <t>28/07/2025</t>
  </si>
  <si>
    <t xml:space="preserve">Chief Accountant </t>
  </si>
  <si>
    <t xml:space="preserve">Pornpimol Suttachat </t>
  </si>
  <si>
    <t>Commercial Financial Analyst-MMS</t>
  </si>
  <si>
    <t xml:space="preserve">Jyoti Kanda </t>
  </si>
  <si>
    <t>22/06/2025</t>
  </si>
  <si>
    <t xml:space="preserve">Robby  Skaria  Thomas </t>
  </si>
  <si>
    <t>05/12/2022</t>
  </si>
  <si>
    <t xml:space="preserve">Riad Farouk Jneid </t>
  </si>
  <si>
    <t>15/11/2020</t>
  </si>
  <si>
    <t>Finance Supervisor-MMS</t>
  </si>
  <si>
    <t xml:space="preserve">Salem  Khader  Masood </t>
  </si>
  <si>
    <t>Mohamed Mahmoud Abou Naaj</t>
  </si>
  <si>
    <t>11/12/2023</t>
  </si>
  <si>
    <t>Accountant-MMS</t>
  </si>
  <si>
    <t xml:space="preserve">Ghaith Elsayed </t>
  </si>
  <si>
    <t>16/12/2020</t>
  </si>
  <si>
    <t>Abdulaziz Obaid Meshan Alharbi</t>
  </si>
  <si>
    <t>10/02/2025</t>
  </si>
  <si>
    <t>HR Executive</t>
  </si>
  <si>
    <t>Noura Khalid Mohammed Al-Essa</t>
  </si>
  <si>
    <t>16/01/2022</t>
  </si>
  <si>
    <t>HR Manager-MMS</t>
  </si>
  <si>
    <t>Shaden Abdullah Abdullatif Alobaid</t>
  </si>
  <si>
    <t>Razan Mansour Alkhraiji</t>
  </si>
  <si>
    <t>03/01/2024</t>
  </si>
  <si>
    <t>Legal Counsel</t>
  </si>
  <si>
    <t>Jana Tebbo</t>
  </si>
  <si>
    <t>NR</t>
  </si>
  <si>
    <t>Fatima Salem Aljabri</t>
  </si>
  <si>
    <t>28/04/2024</t>
  </si>
  <si>
    <t>Marketing and PR Senior Executive</t>
  </si>
  <si>
    <t>Abdullah Mohammed Abutaleb</t>
  </si>
  <si>
    <t>Latifa Riyadh Abdullah Alshalhoub</t>
  </si>
  <si>
    <t>15/06/2025</t>
  </si>
  <si>
    <t>Graphics Designer</t>
  </si>
  <si>
    <t>Ghalia Abdulelah Saleh Harandah</t>
  </si>
  <si>
    <t>Lojain  Mohamed Samy  Abdelfatah alfatairy</t>
  </si>
  <si>
    <t>20/10/2025</t>
  </si>
  <si>
    <t>Marketing Executive</t>
  </si>
  <si>
    <t>Ola Mohamed Ismail Abdelaziz Serag</t>
  </si>
  <si>
    <t xml:space="preserve">Noor  Nazzal </t>
  </si>
  <si>
    <t>28/03/2021</t>
  </si>
  <si>
    <t>Marketing and PR Senior Manager</t>
  </si>
  <si>
    <t xml:space="preserve">Layal Takieddine </t>
  </si>
  <si>
    <t>Roba Ahmed Abdelmetaal Omar</t>
  </si>
  <si>
    <t>Marketing and Analytics Manager</t>
  </si>
  <si>
    <t>Waheeb Mohammed Ibrahim Al Shammari</t>
  </si>
  <si>
    <t>01/05/2021</t>
  </si>
  <si>
    <t>Public Relation Manager</t>
  </si>
  <si>
    <t>Ahmed Mohammed Eldabbagh</t>
  </si>
  <si>
    <t>05/05/2024</t>
  </si>
  <si>
    <t>Integrated Planning Senior Executive</t>
  </si>
  <si>
    <t>Sherif Khalid Hassan Samak</t>
  </si>
  <si>
    <t>Chorouk Hassan Khoudari</t>
  </si>
  <si>
    <t>23/12/2024</t>
  </si>
  <si>
    <t>Research &amp; Measurement Senior Manager</t>
  </si>
  <si>
    <t>Mathieu Sayed Yarak</t>
  </si>
  <si>
    <t>Diana Soukar</t>
  </si>
  <si>
    <t>20/07/2025</t>
  </si>
  <si>
    <t xml:space="preserve">Audience Strategy Manager </t>
  </si>
  <si>
    <t>Sheemah Sultan Hammad Alharthi</t>
  </si>
  <si>
    <t>Integrated Planning Executive</t>
  </si>
  <si>
    <t>Wafa  Osama  Methqal Abdeldayem</t>
  </si>
  <si>
    <t>10/01/2021</t>
  </si>
  <si>
    <t>Karl Chedraui Bassil</t>
  </si>
  <si>
    <t>Mahmoud Mohammed Alsayed Hussain</t>
  </si>
  <si>
    <t>01/10/2025</t>
  </si>
  <si>
    <t>IT Engineer</t>
  </si>
  <si>
    <t xml:space="preserve">MHD Moaz Dahhan </t>
  </si>
  <si>
    <t>Massoud Abdallah Abd Elghany Abdallah Abd Elghany</t>
  </si>
  <si>
    <t>Supervisor IT Engineer</t>
  </si>
  <si>
    <t>Mohamed Ibrahim Mohamed Nour</t>
  </si>
  <si>
    <t>07/10/2024</t>
  </si>
  <si>
    <t>Abir Kharsa</t>
  </si>
  <si>
    <t>16/05/2021</t>
  </si>
  <si>
    <t>Senior Traffic Executive</t>
  </si>
  <si>
    <t xml:space="preserve">Ahmed  M M Omran </t>
  </si>
  <si>
    <t>Ahmed Tawfek Mahmoud Alasyouty</t>
  </si>
  <si>
    <t>Assistant Manager - Traffic</t>
  </si>
  <si>
    <t>Tarek Mohamed Lotfy Adel Eldeeb</t>
  </si>
  <si>
    <t>Ahmed Mostafa Ghonemy Mostafa</t>
  </si>
  <si>
    <t>Traffic Supervisor</t>
  </si>
  <si>
    <t>Ahmed Salaheldin mohamed elsayed othman</t>
  </si>
  <si>
    <t>Traffic Senior Executive</t>
  </si>
  <si>
    <t>Alsayed Abo Bakr Abdelhay Abdullah</t>
  </si>
  <si>
    <t xml:space="preserve">Angelica Villena </t>
  </si>
  <si>
    <t>11/04/2021</t>
  </si>
  <si>
    <t>Senior Traffic Operations</t>
  </si>
  <si>
    <t xml:space="preserve">Arlene Belleza Patrimonio </t>
  </si>
  <si>
    <t>06/12/2020</t>
  </si>
  <si>
    <t>Clifford Issac Nicholas Joseph</t>
  </si>
  <si>
    <t>26/08/2024</t>
  </si>
  <si>
    <t>Senior Traffic Executive - Digital</t>
  </si>
  <si>
    <t>Nilesh Shantaram  Kadam</t>
  </si>
  <si>
    <t>Donna Liza Rabago Aurelio</t>
  </si>
  <si>
    <t>24/02/2025</t>
  </si>
  <si>
    <t>Traffic Operations</t>
  </si>
  <si>
    <t xml:space="preserve">Febina  Badarudheen </t>
  </si>
  <si>
    <t>23/12/2020</t>
  </si>
  <si>
    <t xml:space="preserve">Husni  Ref'at Husni Nasir </t>
  </si>
  <si>
    <t>11/11/2020</t>
  </si>
  <si>
    <t>Jerome Gallon De Layola</t>
  </si>
  <si>
    <t>12/06/2023</t>
  </si>
  <si>
    <t>Maria Elena   Garcia</t>
  </si>
  <si>
    <t>03/03/2022</t>
  </si>
  <si>
    <t xml:space="preserve">Marie  Fe Sudio </t>
  </si>
  <si>
    <t>22/02/2021</t>
  </si>
  <si>
    <t>Mariel Blanca Roxas</t>
  </si>
  <si>
    <t>17/03/2021</t>
  </si>
  <si>
    <t>Marlyn Calderon</t>
  </si>
  <si>
    <t>Traffic Executive - Digital</t>
  </si>
  <si>
    <t>Mohamed Ahmed Idrees Ahmed</t>
  </si>
  <si>
    <t>Mohamed Mostafa Youssef Mohamed</t>
  </si>
  <si>
    <t>Mohamed Amr Mounir</t>
  </si>
  <si>
    <t>Mohsen Sayed Abdrabo Mahmoud</t>
  </si>
  <si>
    <t>Mostafa Nader Gamal Eldeen Mohi Eldeen</t>
  </si>
  <si>
    <t>Senior Traffic Supervisor</t>
  </si>
  <si>
    <t>Noreen Arda</t>
  </si>
  <si>
    <t>Omar Mostafa Youssef abdelrahman Hasaneen</t>
  </si>
  <si>
    <t>05/01/2025</t>
  </si>
  <si>
    <t>Ramy Adel Mohamed Afifi Ibrahim</t>
  </si>
  <si>
    <t>17/12/2023</t>
  </si>
  <si>
    <t>Rawan Rami Mughrabi</t>
  </si>
  <si>
    <t>Traffic Executive</t>
  </si>
  <si>
    <t>Roenelle Flor Villegas</t>
  </si>
  <si>
    <t>21/03/2021</t>
  </si>
  <si>
    <t xml:space="preserve">Ronalyn  San Juan </t>
  </si>
  <si>
    <t>08/11/2020</t>
  </si>
  <si>
    <t>Salman Iqbal Mansoori</t>
  </si>
  <si>
    <t>Supervisor Traffic Executive - Digital</t>
  </si>
  <si>
    <t>Shabhaz Fayaz</t>
  </si>
  <si>
    <t>Ad Operation Executive</t>
  </si>
  <si>
    <t>Stephanie Trinidad Gumpal</t>
  </si>
  <si>
    <t>01/03/2023</t>
  </si>
  <si>
    <t>Tarik Mohamed Youssif Badawy Shakweir</t>
  </si>
  <si>
    <t>26/02/2024</t>
  </si>
  <si>
    <t>Yokesh Srinivasan</t>
  </si>
  <si>
    <t>03/04/2023</t>
  </si>
  <si>
    <t>Youssef Hesham Mahmoud Hassan</t>
  </si>
  <si>
    <t>Shefali Hareshbhai Lakhani</t>
  </si>
  <si>
    <t>Tech Ops - ERP.Shared Services</t>
  </si>
  <si>
    <t>ERP Fusion Financial Managing Consultant</t>
  </si>
  <si>
    <t>Meriem Kettani</t>
  </si>
  <si>
    <t>Office Manager</t>
  </si>
  <si>
    <t>Waleed Elsaied Elessawey Ahmed</t>
  </si>
  <si>
    <t>14/10/2020</t>
  </si>
  <si>
    <t>Nadim Moussa Samara</t>
  </si>
  <si>
    <t>Sales Director</t>
  </si>
  <si>
    <t>01/05/2023</t>
  </si>
  <si>
    <t>Digital Sales Director</t>
  </si>
  <si>
    <t>Associate Director</t>
  </si>
  <si>
    <t>Client Service Manager</t>
  </si>
  <si>
    <t>Mohamed Ahmed Hassan Nasr</t>
  </si>
  <si>
    <t>Head of Commercial</t>
  </si>
  <si>
    <t>Mohamed Ahmed Ibrahim Refaat</t>
  </si>
  <si>
    <t>Commercial Lead</t>
  </si>
  <si>
    <t>Associate Client Service Manager</t>
  </si>
  <si>
    <t>01/11/2020</t>
  </si>
  <si>
    <t>Agency Partnerships Lead</t>
  </si>
  <si>
    <t>01/09/2021</t>
  </si>
  <si>
    <t>Client Growth Director</t>
  </si>
  <si>
    <t>Ramzi Adil Ghanem</t>
  </si>
  <si>
    <t>16/03/2021</t>
  </si>
  <si>
    <t>01/10/2021</t>
  </si>
  <si>
    <t>06/01/2021</t>
  </si>
  <si>
    <t>07/01/2021</t>
  </si>
  <si>
    <t>Audio Growth Senior Manager</t>
  </si>
  <si>
    <t>10/11/2023</t>
  </si>
  <si>
    <t>Shahid Growth Senior Manager</t>
  </si>
  <si>
    <t>01/09/2023</t>
  </si>
  <si>
    <t>Shahid Growth Lead</t>
  </si>
  <si>
    <t>03/01/2021</t>
  </si>
  <si>
    <t>09/04/2022</t>
  </si>
  <si>
    <t>Hicham Chekri Fakhoury</t>
  </si>
  <si>
    <t>23/09/2024</t>
  </si>
  <si>
    <t>Content Solutions Director</t>
  </si>
  <si>
    <t>02/01/2024</t>
  </si>
  <si>
    <t>Content Solutions Lead</t>
  </si>
  <si>
    <t>02/11/2020</t>
  </si>
  <si>
    <t>Chief Executive Officer</t>
  </si>
  <si>
    <t>Waleed Ibrahim A AlIbrahim</t>
  </si>
  <si>
    <t>14/09/2020</t>
  </si>
  <si>
    <t>Chief Finance and Operations Officer</t>
  </si>
  <si>
    <t>01/10/2020</t>
  </si>
  <si>
    <t>Chief Commercial Officer</t>
  </si>
  <si>
    <t>Managing Director</t>
  </si>
  <si>
    <t>04/07/2021</t>
  </si>
  <si>
    <t>Treasury Supervisor</t>
  </si>
  <si>
    <t>Meera Merlyn  D'Souza</t>
  </si>
  <si>
    <t>01/06/2021</t>
  </si>
  <si>
    <t>Melody Noblejas</t>
  </si>
  <si>
    <t>13/12/2020</t>
  </si>
  <si>
    <t>Minhal Ali</t>
  </si>
  <si>
    <t>17/01/2021</t>
  </si>
  <si>
    <t>23/02/2022</t>
  </si>
  <si>
    <t>Director of Commercial Finance</t>
  </si>
  <si>
    <t>07/03/2021</t>
  </si>
  <si>
    <t>Senior Finance Manager-MMS</t>
  </si>
  <si>
    <t>15/12/2021</t>
  </si>
  <si>
    <t>Financial Controller-MMS</t>
  </si>
  <si>
    <t>Ahmed Amgad Mohamed Ibrahim</t>
  </si>
  <si>
    <t>29/09/2025</t>
  </si>
  <si>
    <t>Commercial Finance Analyst</t>
  </si>
  <si>
    <t>Al Shaimaa Mohamed Mohamed Sadek Alshoura</t>
  </si>
  <si>
    <t>HR Manager</t>
  </si>
  <si>
    <t>01/11/2021</t>
  </si>
  <si>
    <t>Head of HR and Admin Services</t>
  </si>
  <si>
    <t>Senior Lawyer</t>
  </si>
  <si>
    <t>25/09/2023</t>
  </si>
  <si>
    <t>Marketing Manager</t>
  </si>
  <si>
    <t>25/06/2024</t>
  </si>
  <si>
    <t>Senior Executive- Graphic Designer-MMS</t>
  </si>
  <si>
    <t>Head of Marketing-MMS</t>
  </si>
  <si>
    <t>Head of Marketing</t>
  </si>
  <si>
    <t>06/01/2025</t>
  </si>
  <si>
    <t>Head of Data</t>
  </si>
  <si>
    <t>11/04/2022</t>
  </si>
  <si>
    <t>Integrated Planning Manager</t>
  </si>
  <si>
    <t>Jamil  Kabbara</t>
  </si>
  <si>
    <t>28/02/2021</t>
  </si>
  <si>
    <t>Data Analytics Senior Manager</t>
  </si>
  <si>
    <t>16/04/2024</t>
  </si>
  <si>
    <t>Integrated Media Manager</t>
  </si>
  <si>
    <t>IT Manager-MMS</t>
  </si>
  <si>
    <t>Sadeq Ali Mohammed Saifi</t>
  </si>
  <si>
    <t>Senior Traffic Manager</t>
  </si>
  <si>
    <t>Traffic Manager - Digital</t>
  </si>
  <si>
    <t>Traffic Manager</t>
  </si>
  <si>
    <t>Zone</t>
  </si>
  <si>
    <t>Professional  Profile</t>
  </si>
  <si>
    <t>Description</t>
  </si>
  <si>
    <t xml:space="preserve">How To help this Employee to Grow </t>
  </si>
  <si>
    <t>1A</t>
  </si>
  <si>
    <t xml:space="preserve">Risk </t>
  </si>
  <si>
    <t>Poor performance &amp; limited potential</t>
  </si>
  <si>
    <t>This person is likely a candidate to be reassigned to a different role or exited from the company. Counsel this employee on their options going forward.</t>
  </si>
  <si>
    <t>1B</t>
  </si>
  <si>
    <t>Inconsistent Player</t>
  </si>
  <si>
    <t>Poor performance &amp; moderate potential</t>
  </si>
  <si>
    <t>With coaching, this person could progress within their role. Focus on stretch goals for this employee.</t>
  </si>
  <si>
    <t>1C</t>
  </si>
  <si>
    <t>Potential Gem</t>
  </si>
  <si>
    <t>Poor performance &amp; high potential</t>
  </si>
  <si>
    <t>This person is possibly a star, but may not be in the right role, or lacks the experience needed to be successful right now. Give them time to grow into their potential, along with counseling and support on their career planning.</t>
  </si>
  <si>
    <t>2A</t>
  </si>
  <si>
    <t>Average Performer</t>
  </si>
  <si>
    <t>Good performance &amp; limited potential</t>
  </si>
  <si>
    <t>An effective performer, but may have reached their career potential. Coach this employee on becoming more innovative, and determine if they have potential in another part of the organization.</t>
  </si>
  <si>
    <t>2B</t>
  </si>
  <si>
    <t>Core Player</t>
  </si>
  <si>
    <t>Good performance &amp; moderate potential</t>
  </si>
  <si>
    <t>This is your “B” team – the solid players that make up 80% of the capacity of a good organization. Keep these people happy, invest in them regularly, and make sure they have a feeling of ownership in the organization.</t>
  </si>
  <si>
    <t>2C</t>
  </si>
  <si>
    <t>Growth Employee</t>
  </si>
  <si>
    <t>Good performance &amp; high potential</t>
  </si>
  <si>
    <t>This person is a solid candidate to continue to grow in their current vertical. Give them stretch goals to maximize their potential and keep them engaged.</t>
  </si>
  <si>
    <t>3A</t>
  </si>
  <si>
    <t>Solid Performer</t>
  </si>
  <si>
    <t>High performance &amp; limited potential</t>
  </si>
  <si>
    <t>Seasoned professional who is great at their current role but lacks ambition or drive to grow beyond role. Keep them happy and give them raises / bonuses / acknowledgements often.</t>
  </si>
  <si>
    <t>3B</t>
  </si>
  <si>
    <t>High Performer</t>
  </si>
  <si>
    <t>High performance &amp; moderate potential</t>
  </si>
  <si>
    <t>Their current role may provide opportunity for growth &amp; development. They may be too tactically focused; provide strategic thinking and raise their potential.</t>
  </si>
  <si>
    <t>3C</t>
  </si>
  <si>
    <t>Star</t>
  </si>
  <si>
    <t>High performance &amp; high potential</t>
  </si>
  <si>
    <t>This is your superstar employee. This person consistently performs well in a variety of assignments, demonstrates strategic thinking, excellent problem-solver, and intrinsically motivated to excel. They are likely ready for a significant role and set of responsibilities.</t>
  </si>
  <si>
    <t xml:space="preserve">High </t>
  </si>
  <si>
    <t>Exceptional</t>
  </si>
  <si>
    <t>4.6 - 5</t>
  </si>
  <si>
    <t>Weighted Score</t>
  </si>
  <si>
    <t>Performance Zone</t>
  </si>
  <si>
    <t>exeed expectation</t>
  </si>
  <si>
    <t>3.6 - 4.5</t>
  </si>
  <si>
    <t>أقل من 3.0</t>
  </si>
  <si>
    <t>Poor</t>
  </si>
  <si>
    <t xml:space="preserve">Poor </t>
  </si>
  <si>
    <t>1-3.4</t>
  </si>
  <si>
    <t>Meet</t>
  </si>
  <si>
    <t>3 - 3.5</t>
  </si>
  <si>
    <t>3.0 إلى أقل من 3.8</t>
  </si>
  <si>
    <t>Average</t>
  </si>
  <si>
    <t xml:space="preserve">Average </t>
  </si>
  <si>
    <t>3.5-4.</t>
  </si>
  <si>
    <t>من 0 الى 3.4</t>
  </si>
  <si>
    <t>below</t>
  </si>
  <si>
    <t>2 - 2.9</t>
  </si>
  <si>
    <t>3.8 فأكثر</t>
  </si>
  <si>
    <t>High</t>
  </si>
  <si>
    <t>Need</t>
  </si>
  <si>
    <t>0-1.99</t>
  </si>
  <si>
    <t>Employee Performance Evaluation</t>
  </si>
  <si>
    <t>Performance</t>
  </si>
  <si>
    <t>Num</t>
  </si>
  <si>
    <t>EMP ID</t>
  </si>
  <si>
    <t>Name</t>
  </si>
  <si>
    <t xml:space="preserve">Joining date </t>
  </si>
  <si>
    <t xml:space="preserve">Employee Location </t>
  </si>
  <si>
    <t>Depatrment</t>
  </si>
  <si>
    <t>OBJ 2023</t>
  </si>
  <si>
    <t>Comp 23</t>
  </si>
  <si>
    <t>overall 23</t>
  </si>
  <si>
    <t>OBJ   2024</t>
  </si>
  <si>
    <t>Comp 24</t>
  </si>
  <si>
    <t>overall 24</t>
  </si>
  <si>
    <t>OBJ   2025</t>
  </si>
  <si>
    <t>Comp 25</t>
  </si>
  <si>
    <t>overall 25</t>
  </si>
  <si>
    <t>Performance Average</t>
  </si>
  <si>
    <t>Perforamnce ZONE 25</t>
  </si>
  <si>
    <t>Grid Location</t>
  </si>
  <si>
    <t>Grid Location 23</t>
  </si>
  <si>
    <t>Grid Location 24</t>
  </si>
  <si>
    <t>-</t>
  </si>
  <si>
    <t>Admin</t>
  </si>
  <si>
    <t>Client Growth</t>
  </si>
  <si>
    <t>Marketing</t>
  </si>
  <si>
    <t>Traffic</t>
  </si>
  <si>
    <t>Agency Partnerships</t>
  </si>
  <si>
    <t>Content Solutions</t>
  </si>
  <si>
    <t>Finance</t>
  </si>
  <si>
    <t>HR</t>
  </si>
  <si>
    <t>Hani Maurice Ghorayeb</t>
  </si>
  <si>
    <t>Research</t>
  </si>
  <si>
    <t>Legal</t>
  </si>
  <si>
    <t>Technology</t>
  </si>
  <si>
    <t>Executive</t>
  </si>
  <si>
    <t>Yasser Ali Ahmed Ali</t>
  </si>
  <si>
    <t>Tech Ops - ERP</t>
  </si>
  <si>
    <t>Digital Social Media</t>
  </si>
  <si>
    <t xml:space="preserve">Moussa Antoine  Abdo </t>
  </si>
  <si>
    <t xml:space="preserve">Jalal Hassan A Jassoma </t>
  </si>
  <si>
    <t>Kareem Nabil Abdelhakim</t>
  </si>
  <si>
    <t>Executive - CEO Office</t>
  </si>
  <si>
    <t>Ghayath Naji Yaghi</t>
  </si>
  <si>
    <t>Medium</t>
  </si>
  <si>
    <t>Potin</t>
  </si>
  <si>
    <t>Perf</t>
  </si>
  <si>
    <t>Low</t>
  </si>
  <si>
    <t>Potential Zone</t>
  </si>
  <si>
    <t>9 Grid Box 2024</t>
  </si>
  <si>
    <t>Gird Zone</t>
  </si>
  <si>
    <t>Grid Zone</t>
  </si>
  <si>
    <t xml:space="preserve">Grid Zone </t>
  </si>
  <si>
    <t>MMS KSA</t>
  </si>
  <si>
    <t>MMS UAE</t>
  </si>
  <si>
    <t>MMS Egypt</t>
  </si>
  <si>
    <t>9 Grid Box 2025</t>
  </si>
  <si>
    <t xml:space="preserve">Admin </t>
  </si>
  <si>
    <t xml:space="preserve">Digital Social Media </t>
  </si>
  <si>
    <t xml:space="preserve">Finance </t>
  </si>
  <si>
    <t xml:space="preserve">Technology </t>
  </si>
  <si>
    <t xml:space="preserve">HR </t>
  </si>
  <si>
    <t xml:space="preserve">Legal </t>
  </si>
  <si>
    <t xml:space="preserve">Marketing </t>
  </si>
  <si>
    <t xml:space="preserve">Executive </t>
  </si>
  <si>
    <t>9 Grid Box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</si>
</sst>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F800]dddd\,\ mmmm\ dd\,\ yyyy"/>
    <numFmt numFmtId="167" formatCode="[$-409]d\-mmm\-yy;@"/>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0"/>
      <name val="Calibri Light"/>
      <scheme val="major"/>
    </font>
    <font>
      <b/>
      <sz val="11"/>
      <color theme="0" tint="-4.9989318521683403E-2"/>
      <name val="Calibri"/>
      <family val="2"/>
      <scheme val="minor"/>
    </font>
    <font>
      <sz val="13"/>
      <color rgb="FFFFC000"/>
      <name val="Calibri"/>
      <family val="2"/>
      <charset val="162"/>
      <scheme val="minor"/>
    </font>
    <font>
      <b/>
      <sz val="16"/>
      <color theme="0"/>
      <name val="Calibri"/>
      <family val="2"/>
      <scheme val="minor"/>
    </font>
    <font>
      <sz val="11"/>
      <color theme="1"/>
      <name val="Calibri"/>
      <family val="2"/>
      <charset val="162"/>
      <scheme val="minor"/>
    </font>
    <font>
      <sz val="11"/>
      <color theme="1"/>
      <name val="Corbel"/>
      <family val="2"/>
    </font>
    <font>
      <sz val="11"/>
      <color theme="1"/>
      <name val="Candara"/>
      <family val="2"/>
    </font>
    <font>
      <sz val="20"/>
      <color theme="1"/>
      <name val="Calibri"/>
      <family val="2"/>
      <scheme val="minor"/>
    </font>
    <font>
      <sz val="12"/>
      <name val="Calibri"/>
      <family val="2"/>
      <scheme val="minor"/>
    </font>
    <font>
      <b/>
      <sz val="11"/>
      <color theme="0"/>
      <name val="Calibri Light"/>
      <family val="2"/>
      <scheme val="major"/>
    </font>
    <font>
      <sz val="20"/>
      <color theme="1"/>
      <name val="Calibri"/>
      <family val="2"/>
      <charset val="162"/>
      <scheme val="minor"/>
    </font>
    <font>
      <sz val="11"/>
      <color theme="0"/>
      <name val="Calibri"/>
      <family val="2"/>
      <scheme val="minor"/>
    </font>
    <font>
      <sz val="11"/>
      <name val="Calibri"/>
      <family val="2"/>
      <scheme val="minor"/>
    </font>
    <font>
      <b/>
      <sz val="20"/>
      <color theme="1"/>
      <name val="Calibri"/>
      <family val="2"/>
      <scheme val="minor"/>
    </font>
    <font>
      <b/>
      <sz val="11"/>
      <color theme="0"/>
      <name val="Corbel"/>
      <family val="2"/>
    </font>
  </fonts>
  <fills count="21">
    <fill>
      <patternFill patternType="none"/>
    </fill>
    <fill>
      <patternFill patternType="gray125"/>
    </fill>
    <fill>
      <patternFill patternType="solid">
        <fgColor rgb="FFC00000"/>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3"/>
        <bgColor indexed="64"/>
      </patternFill>
    </fill>
    <fill>
      <patternFill patternType="solid">
        <fgColor theme="4" tint="-0.249977111117893"/>
        <bgColor indexed="64"/>
      </patternFill>
    </fill>
    <fill>
      <patternFill patternType="solid">
        <fgColor rgb="FFFF0000"/>
        <bgColor indexed="64"/>
      </patternFill>
    </fill>
    <fill>
      <patternFill patternType="solid">
        <fgColor theme="5"/>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3" tint="-0.249977111117893"/>
        <bgColor indexed="64"/>
      </patternFill>
    </fill>
    <fill>
      <patternFill patternType="solid">
        <fgColor rgb="FFFFFF00"/>
        <bgColor indexed="64"/>
      </patternFill>
    </fill>
    <fill>
      <patternFill patternType="solid">
        <fgColor rgb="FFFFFF00"/>
        <bgColor theme="4" tint="0.79998168889431442"/>
      </patternFill>
    </fill>
    <fill>
      <patternFill patternType="solid">
        <fgColor theme="3" tint="0.399975585192419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rgb="FF676EFD"/>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7" fillId="0" borderId="0"/>
    <xf numFmtId="166" fontId="1" fillId="0" borderId="0"/>
  </cellStyleXfs>
  <cellXfs count="111">
    <xf numFmtId="0" fontId="0" fillId="0" borderId="0" xfId="0"/>
    <xf numFmtId="0" fontId="1" fillId="4" borderId="0" xfId="0" applyFont="1" applyFill="1"/>
    <xf numFmtId="0" fontId="8" fillId="0" borderId="1" xfId="2" applyFont="1" applyBorder="1" applyAlignment="1">
      <alignment vertical="center"/>
    </xf>
    <xf numFmtId="0" fontId="8" fillId="0" borderId="2" xfId="2" applyFont="1" applyBorder="1" applyAlignment="1">
      <alignment vertical="center"/>
    </xf>
    <xf numFmtId="0" fontId="8" fillId="0" borderId="3" xfId="2" applyFont="1" applyBorder="1" applyAlignment="1">
      <alignment vertical="center"/>
    </xf>
    <xf numFmtId="0" fontId="8" fillId="0" borderId="4" xfId="0" applyFont="1" applyBorder="1"/>
    <xf numFmtId="0" fontId="8" fillId="0" borderId="0" xfId="0" applyFont="1"/>
    <xf numFmtId="0" fontId="8" fillId="0" borderId="5" xfId="0" applyFont="1" applyBorder="1"/>
    <xf numFmtId="0" fontId="2" fillId="7" borderId="6" xfId="0" applyFont="1" applyFill="1" applyBorder="1" applyAlignment="1">
      <alignment horizontal="center"/>
    </xf>
    <xf numFmtId="0" fontId="2" fillId="7" borderId="7" xfId="0" applyFont="1" applyFill="1" applyBorder="1" applyAlignment="1">
      <alignment horizontal="center"/>
    </xf>
    <xf numFmtId="0" fontId="2" fillId="7" borderId="8" xfId="0" applyFont="1" applyFill="1" applyBorder="1" applyAlignment="1">
      <alignment horizontal="center"/>
    </xf>
    <xf numFmtId="0" fontId="0" fillId="8" borderId="9" xfId="0" applyFill="1" applyBorder="1" applyAlignment="1">
      <alignment horizontal="center"/>
    </xf>
    <xf numFmtId="0" fontId="0" fillId="0" borderId="10" xfId="0" applyBorder="1"/>
    <xf numFmtId="0" fontId="0" fillId="0" borderId="11" xfId="0" applyBorder="1"/>
    <xf numFmtId="0" fontId="0" fillId="9" borderId="9" xfId="0" applyFill="1" applyBorder="1" applyAlignment="1">
      <alignment horizontal="center"/>
    </xf>
    <xf numFmtId="0" fontId="0" fillId="10" borderId="9" xfId="0" applyFill="1" applyBorder="1" applyAlignment="1">
      <alignment horizontal="center"/>
    </xf>
    <xf numFmtId="0" fontId="0" fillId="11" borderId="9" xfId="0" applyFill="1" applyBorder="1" applyAlignment="1">
      <alignment horizontal="center"/>
    </xf>
    <xf numFmtId="0" fontId="0" fillId="12" borderId="3" xfId="0" applyFill="1" applyBorder="1" applyAlignment="1">
      <alignment horizontal="center"/>
    </xf>
    <xf numFmtId="0" fontId="0" fillId="0" borderId="12" xfId="0" applyBorder="1"/>
    <xf numFmtId="0" fontId="0" fillId="0" borderId="1" xfId="0" applyBorder="1"/>
    <xf numFmtId="9" fontId="8" fillId="0" borderId="0" xfId="1" applyFont="1" applyFill="1" applyBorder="1"/>
    <xf numFmtId="0" fontId="9" fillId="0" borderId="8" xfId="0" applyFont="1" applyBorder="1"/>
    <xf numFmtId="0" fontId="9" fillId="0" borderId="13" xfId="0" applyFont="1" applyBorder="1"/>
    <xf numFmtId="0" fontId="9" fillId="0" borderId="6" xfId="0" applyFont="1" applyBorder="1"/>
    <xf numFmtId="0" fontId="0" fillId="0" borderId="0" xfId="0" applyAlignment="1">
      <alignment horizontal="center"/>
    </xf>
    <xf numFmtId="0" fontId="0" fillId="0" borderId="0" xfId="0" applyAlignment="1">
      <alignment horizontal="center" vertical="center"/>
    </xf>
    <xf numFmtId="0" fontId="0" fillId="14" borderId="10" xfId="0" applyFill="1" applyBorder="1" applyAlignment="1">
      <alignment horizontal="center" vertical="center"/>
    </xf>
    <xf numFmtId="0" fontId="0" fillId="14" borderId="11" xfId="0" applyFill="1" applyBorder="1" applyAlignment="1">
      <alignment horizontal="center" vertical="center"/>
    </xf>
    <xf numFmtId="0" fontId="0" fillId="14" borderId="6" xfId="0" applyFill="1" applyBorder="1" applyAlignment="1">
      <alignment horizontal="center" vertical="center"/>
    </xf>
    <xf numFmtId="0" fontId="0" fillId="14" borderId="7" xfId="0" applyFill="1" applyBorder="1" applyAlignment="1">
      <alignment horizontal="center" vertical="center"/>
    </xf>
    <xf numFmtId="0" fontId="0" fillId="14" borderId="8" xfId="0" applyFill="1" applyBorder="1"/>
    <xf numFmtId="0" fontId="0" fillId="15" borderId="10" xfId="0" applyFill="1" applyBorder="1" applyAlignment="1">
      <alignment horizontal="center" vertical="center"/>
    </xf>
    <xf numFmtId="0" fontId="0" fillId="14" borderId="9" xfId="0" applyFill="1" applyBorder="1" applyAlignment="1">
      <alignment horizontal="center" vertical="center"/>
    </xf>
    <xf numFmtId="0" fontId="0" fillId="14" borderId="3" xfId="0" applyFill="1" applyBorder="1" applyAlignment="1">
      <alignment horizontal="center" vertical="center"/>
    </xf>
    <xf numFmtId="0" fontId="0" fillId="14" borderId="12" xfId="0" applyFill="1" applyBorder="1" applyAlignment="1">
      <alignment horizontal="center" vertical="center"/>
    </xf>
    <xf numFmtId="0" fontId="0" fillId="14" borderId="1" xfId="0" applyFill="1" applyBorder="1" applyAlignment="1">
      <alignment horizontal="center" vertical="center"/>
    </xf>
    <xf numFmtId="0" fontId="10" fillId="16" borderId="0" xfId="0" applyFont="1" applyFill="1" applyAlignment="1">
      <alignment horizontal="center" vertical="center"/>
    </xf>
    <xf numFmtId="0" fontId="0" fillId="5" borderId="10" xfId="0" applyFill="1" applyBorder="1" applyAlignment="1">
      <alignment horizontal="center" vertical="center"/>
    </xf>
    <xf numFmtId="0" fontId="0" fillId="17" borderId="10" xfId="0" applyFill="1" applyBorder="1" applyAlignment="1">
      <alignment horizontal="center" vertical="center"/>
    </xf>
    <xf numFmtId="0" fontId="0" fillId="18" borderId="10" xfId="0" applyFill="1" applyBorder="1" applyAlignment="1">
      <alignment horizontal="center" vertical="center"/>
    </xf>
    <xf numFmtId="0" fontId="0" fillId="0" borderId="10" xfId="0" applyBorder="1" applyAlignment="1">
      <alignment horizontal="center" vertical="center"/>
    </xf>
    <xf numFmtId="165" fontId="0" fillId="0" borderId="10" xfId="0" applyNumberFormat="1" applyBorder="1" applyAlignment="1">
      <alignment horizontal="center"/>
    </xf>
    <xf numFmtId="167" fontId="11" fillId="0" borderId="10" xfId="3" applyNumberFormat="1" applyFont="1" applyBorder="1" applyAlignment="1">
      <alignment horizontal="center" vertical="center"/>
    </xf>
    <xf numFmtId="164" fontId="0" fillId="0" borderId="10" xfId="0" applyNumberFormat="1" applyBorder="1" applyAlignment="1">
      <alignment horizontal="center" vertical="center"/>
    </xf>
    <xf numFmtId="0" fontId="0" fillId="11" borderId="10" xfId="0" applyFill="1" applyBorder="1" applyAlignment="1">
      <alignment horizontal="center"/>
    </xf>
    <xf numFmtId="0" fontId="0" fillId="10" borderId="10" xfId="0" applyFill="1" applyBorder="1" applyAlignment="1">
      <alignment horizontal="center"/>
    </xf>
    <xf numFmtId="0" fontId="0" fillId="12" borderId="10" xfId="0" applyFill="1" applyBorder="1" applyAlignment="1">
      <alignment horizontal="center"/>
    </xf>
    <xf numFmtId="0" fontId="0" fillId="8" borderId="10" xfId="0" applyFill="1" applyBorder="1" applyAlignment="1">
      <alignment horizontal="center"/>
    </xf>
    <xf numFmtId="0" fontId="0" fillId="9" borderId="10" xfId="0" applyFill="1" applyBorder="1" applyAlignment="1">
      <alignment horizontal="center"/>
    </xf>
    <xf numFmtId="167" fontId="11" fillId="14" borderId="10" xfId="3" applyNumberFormat="1" applyFont="1" applyFill="1" applyBorder="1" applyAlignment="1">
      <alignment horizontal="center" vertical="center"/>
    </xf>
    <xf numFmtId="0" fontId="0" fillId="0" borderId="5"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49" fontId="0" fillId="0" borderId="10" xfId="0" applyNumberFormat="1" applyBorder="1" applyAlignment="1">
      <alignment horizontal="center"/>
    </xf>
    <xf numFmtId="166" fontId="0" fillId="0" borderId="10" xfId="0" applyNumberFormat="1" applyBorder="1" applyAlignment="1">
      <alignment horizontal="center"/>
    </xf>
    <xf numFmtId="0" fontId="14" fillId="19" borderId="0" xfId="0" applyFont="1" applyFill="1"/>
    <xf numFmtId="0" fontId="15" fillId="19" borderId="0" xfId="0" applyFont="1" applyFill="1"/>
    <xf numFmtId="0" fontId="0" fillId="0" borderId="11" xfId="0" applyBorder="1" applyAlignment="1">
      <alignment horizontal="center"/>
    </xf>
    <xf numFmtId="0" fontId="0" fillId="10" borderId="3" xfId="0" applyFill="1" applyBorder="1" applyAlignment="1">
      <alignment horizontal="center"/>
    </xf>
    <xf numFmtId="0" fontId="0" fillId="10" borderId="12" xfId="0" applyFill="1" applyBorder="1" applyAlignment="1">
      <alignment horizontal="center"/>
    </xf>
    <xf numFmtId="0" fontId="0" fillId="8" borderId="10" xfId="0" applyFill="1" applyBorder="1"/>
    <xf numFmtId="49" fontId="0" fillId="8" borderId="10" xfId="0" applyNumberFormat="1" applyFill="1" applyBorder="1" applyAlignment="1">
      <alignment horizontal="center"/>
    </xf>
    <xf numFmtId="0" fontId="17" fillId="20" borderId="0" xfId="0" applyFont="1" applyFill="1"/>
    <xf numFmtId="165" fontId="0" fillId="0" borderId="9" xfId="0" applyNumberFormat="1" applyBorder="1" applyAlignment="1">
      <alignment horizontal="center"/>
    </xf>
    <xf numFmtId="0" fontId="12" fillId="2" borderId="6" xfId="0" applyFont="1" applyFill="1" applyBorder="1" applyAlignment="1">
      <alignment horizontal="center" vertical="center"/>
    </xf>
    <xf numFmtId="0" fontId="12" fillId="2" borderId="7" xfId="0" applyFont="1" applyFill="1" applyBorder="1" applyAlignment="1">
      <alignment horizontal="left" vertical="center"/>
    </xf>
    <xf numFmtId="0" fontId="12" fillId="2" borderId="7" xfId="0" applyFont="1" applyFill="1" applyBorder="1" applyAlignment="1">
      <alignment horizontal="center" vertical="center"/>
    </xf>
    <xf numFmtId="0" fontId="2" fillId="5" borderId="7" xfId="0" applyFont="1" applyFill="1" applyBorder="1" applyAlignment="1">
      <alignment horizontal="center" vertical="center"/>
    </xf>
    <xf numFmtId="164" fontId="2" fillId="3" borderId="7" xfId="0" applyNumberFormat="1"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165" fontId="0" fillId="0" borderId="3" xfId="0" applyNumberFormat="1" applyBorder="1" applyAlignment="1">
      <alignment horizontal="center"/>
    </xf>
    <xf numFmtId="0" fontId="0" fillId="0" borderId="1" xfId="0" applyBorder="1" applyAlignment="1">
      <alignment horizontal="center"/>
    </xf>
    <xf numFmtId="0" fontId="12" fillId="5" borderId="7" xfId="0" applyFont="1" applyFill="1" applyBorder="1" applyAlignment="1">
      <alignment horizontal="center" vertical="center"/>
    </xf>
    <xf numFmtId="165" fontId="0" fillId="8" borderId="9" xfId="0" applyNumberFormat="1" applyFill="1" applyBorder="1" applyAlignment="1">
      <alignment horizontal="center"/>
    </xf>
    <xf numFmtId="0" fontId="3" fillId="8" borderId="6" xfId="0" applyFont="1" applyFill="1" applyBorder="1" applyAlignment="1">
      <alignment horizontal="center" vertical="center"/>
    </xf>
    <xf numFmtId="0" fontId="3" fillId="8" borderId="7" xfId="0" applyFont="1" applyFill="1" applyBorder="1" applyAlignment="1">
      <alignment horizontal="left" vertical="center"/>
    </xf>
    <xf numFmtId="0" fontId="4" fillId="5" borderId="7" xfId="0" applyFont="1" applyFill="1" applyBorder="1" applyAlignment="1">
      <alignment horizontal="center" vertical="center"/>
    </xf>
    <xf numFmtId="49" fontId="0" fillId="0" borderId="12" xfId="0" applyNumberFormat="1" applyBorder="1" applyAlignment="1">
      <alignment horizontal="center"/>
    </xf>
    <xf numFmtId="0" fontId="0" fillId="8" borderId="11" xfId="0" applyFill="1" applyBorder="1" applyAlignment="1">
      <alignment horizont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0" fillId="16" borderId="10" xfId="0" applyFont="1" applyFill="1" applyBorder="1" applyAlignment="1">
      <alignment horizontal="center" vertical="center"/>
    </xf>
    <xf numFmtId="0" fontId="0" fillId="17" borderId="10" xfId="0" applyFill="1" applyBorder="1" applyAlignment="1">
      <alignment horizontal="center" vertical="center"/>
    </xf>
    <xf numFmtId="0" fontId="0" fillId="13" borderId="0" xfId="0" applyFill="1" applyAlignment="1">
      <alignment horizontal="center"/>
    </xf>
    <xf numFmtId="0" fontId="16" fillId="4" borderId="0" xfId="2" applyFont="1" applyFill="1" applyAlignment="1">
      <alignment horizontal="center" vertical="center"/>
    </xf>
    <xf numFmtId="0" fontId="13" fillId="4" borderId="0" xfId="2" applyFont="1" applyFill="1" applyAlignment="1">
      <alignment horizontal="center" vertical="center"/>
    </xf>
    <xf numFmtId="0" fontId="13" fillId="4" borderId="13" xfId="2" applyFont="1" applyFill="1" applyBorder="1" applyAlignment="1">
      <alignment horizontal="center" vertical="center"/>
    </xf>
    <xf numFmtId="0" fontId="5" fillId="0" borderId="0" xfId="0" applyFont="1" applyAlignment="1">
      <alignment horizontal="left" vertical="center" indent="6"/>
    </xf>
    <xf numFmtId="49" fontId="6" fillId="6" borderId="0" xfId="0" applyNumberFormat="1" applyFont="1" applyFill="1" applyAlignment="1">
      <alignment horizontal="left" vertical="center" indent="6"/>
    </xf>
  </cellXfs>
  <cellStyles count="4">
    <cellStyle name="Normal" xfId="0" builtinId="0"/>
    <cellStyle name="Normal 2" xfId="2" xr:uid="{BAE78A0C-BC3C-4D29-BA5C-685E00C20469}"/>
    <cellStyle name="Normal 9" xfId="3" xr:uid="{5BCCAF15-AE00-40CB-B7E2-B384E3F40D7C}"/>
    <cellStyle name="Percent" xfId="1" builtinId="5"/>
  </cellStyles>
  <dxfs count="97">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6" formatCode="[$-F800]dddd\,\ mmmm\ dd\,\ 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0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0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numFmt numFmtId="164" formatCode="0.0"/>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76EFD"/>
      <color rgb="FF666EFF"/>
      <color rgb="FF636B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381314</xdr:colOff>
      <xdr:row>17</xdr:row>
      <xdr:rowOff>49741</xdr:rowOff>
    </xdr:from>
    <xdr:to>
      <xdr:col>4</xdr:col>
      <xdr:colOff>529548</xdr:colOff>
      <xdr:row>36</xdr:row>
      <xdr:rowOff>174241</xdr:rowOff>
    </xdr:to>
    <xdr:sp macro="" textlink="">
      <xdr:nvSpPr>
        <xdr:cNvPr id="2" name="Arrow: Down 1">
          <a:extLst>
            <a:ext uri="{FF2B5EF4-FFF2-40B4-BE49-F238E27FC236}">
              <a16:creationId xmlns:a16="http://schemas.microsoft.com/office/drawing/2014/main" id="{3796BDF7-AF8E-42FA-BEFD-7FCF238BEBFE}"/>
            </a:ext>
          </a:extLst>
        </xdr:cNvPr>
        <xdr:cNvSpPr/>
      </xdr:nvSpPr>
      <xdr:spPr>
        <a:xfrm flipV="1">
          <a:off x="3305489" y="3246966"/>
          <a:ext cx="145059" cy="3566200"/>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algn="l"/>
          <a:endParaRPr lang="en-US" sz="1100">
            <a:latin typeface="Corbel" panose="020B0503020204020204" pitchFamily="34" charset="0"/>
          </a:endParaRPr>
        </a:p>
      </xdr:txBody>
    </xdr:sp>
    <xdr:clientData/>
  </xdr:twoCellAnchor>
  <xdr:twoCellAnchor>
    <xdr:from>
      <xdr:col>4</xdr:col>
      <xdr:colOff>826541</xdr:colOff>
      <xdr:row>38</xdr:row>
      <xdr:rowOff>125348</xdr:rowOff>
    </xdr:from>
    <xdr:to>
      <xdr:col>10</xdr:col>
      <xdr:colOff>1232216</xdr:colOff>
      <xdr:row>39</xdr:row>
      <xdr:rowOff>78848</xdr:rowOff>
    </xdr:to>
    <xdr:sp macro="" textlink="">
      <xdr:nvSpPr>
        <xdr:cNvPr id="3" name="Arrow: Down 2">
          <a:extLst>
            <a:ext uri="{FF2B5EF4-FFF2-40B4-BE49-F238E27FC236}">
              <a16:creationId xmlns:a16="http://schemas.microsoft.com/office/drawing/2014/main" id="{4DE81A92-A0BC-4F34-8310-BCD68C309862}"/>
            </a:ext>
          </a:extLst>
        </xdr:cNvPr>
        <xdr:cNvSpPr/>
      </xdr:nvSpPr>
      <xdr:spPr>
        <a:xfrm rot="5400000" flipV="1">
          <a:off x="6561254" y="4315685"/>
          <a:ext cx="137650" cy="5752375"/>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algn="l"/>
          <a:endParaRPr lang="en-US" sz="1100">
            <a:latin typeface="Corbel" panose="020B0503020204020204" pitchFamily="34" charset="0"/>
          </a:endParaRPr>
        </a:p>
      </xdr:txBody>
    </xdr:sp>
    <xdr:clientData/>
  </xdr:twoCellAnchor>
  <xdr:twoCellAnchor>
    <xdr:from>
      <xdr:col>6</xdr:col>
      <xdr:colOff>905665</xdr:colOff>
      <xdr:row>39</xdr:row>
      <xdr:rowOff>114300</xdr:rowOff>
    </xdr:from>
    <xdr:to>
      <xdr:col>8</xdr:col>
      <xdr:colOff>1076890</xdr:colOff>
      <xdr:row>40</xdr:row>
      <xdr:rowOff>96027</xdr:rowOff>
    </xdr:to>
    <xdr:sp macro="" textlink="">
      <xdr:nvSpPr>
        <xdr:cNvPr id="4" name="TextBox 3">
          <a:extLst>
            <a:ext uri="{FF2B5EF4-FFF2-40B4-BE49-F238E27FC236}">
              <a16:creationId xmlns:a16="http://schemas.microsoft.com/office/drawing/2014/main" id="{E4F1A6A3-2C74-452C-9CB4-C313CC091932}"/>
            </a:ext>
          </a:extLst>
        </xdr:cNvPr>
        <xdr:cNvSpPr txBox="1"/>
      </xdr:nvSpPr>
      <xdr:spPr>
        <a:xfrm>
          <a:off x="5750715" y="7296150"/>
          <a:ext cx="1885725" cy="162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PERFORMANCE</a:t>
          </a:r>
          <a:endParaRPr lang="en-US" sz="1100" b="0">
            <a:latin typeface="Corbel" panose="020B0503020204020204" pitchFamily="34" charset="0"/>
            <a:cs typeface="Posterama" panose="020B0504020200020000" pitchFamily="34" charset="0"/>
          </a:endParaRPr>
        </a:p>
      </xdr:txBody>
    </xdr:sp>
    <xdr:clientData/>
  </xdr:twoCellAnchor>
  <xdr:twoCellAnchor>
    <xdr:from>
      <xdr:col>4</xdr:col>
      <xdr:colOff>213712</xdr:colOff>
      <xdr:row>22</xdr:row>
      <xdr:rowOff>40669</xdr:rowOff>
    </xdr:from>
    <xdr:to>
      <xdr:col>4</xdr:col>
      <xdr:colOff>381705</xdr:colOff>
      <xdr:row>31</xdr:row>
      <xdr:rowOff>126169</xdr:rowOff>
    </xdr:to>
    <xdr:sp macro="" textlink="">
      <xdr:nvSpPr>
        <xdr:cNvPr id="5" name="TextBox 4">
          <a:extLst>
            <a:ext uri="{FF2B5EF4-FFF2-40B4-BE49-F238E27FC236}">
              <a16:creationId xmlns:a16="http://schemas.microsoft.com/office/drawing/2014/main" id="{A65496FA-D408-420E-9C4E-E873486ED650}"/>
            </a:ext>
          </a:extLst>
        </xdr:cNvPr>
        <xdr:cNvSpPr txBox="1"/>
      </xdr:nvSpPr>
      <xdr:spPr>
        <a:xfrm rot="16200000">
          <a:off x="2367921" y="4919085"/>
          <a:ext cx="1711100" cy="16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POTENTIAL</a:t>
          </a:r>
          <a:endParaRPr lang="en-US" sz="1100" b="0">
            <a:latin typeface="Corbel" panose="020B0503020204020204" pitchFamily="34" charset="0"/>
            <a:cs typeface="Posterama" panose="020B0504020200020000" pitchFamily="34" charset="0"/>
          </a:endParaRPr>
        </a:p>
      </xdr:txBody>
    </xdr:sp>
    <xdr:clientData/>
  </xdr:twoCellAnchor>
  <xdr:twoCellAnchor>
    <xdr:from>
      <xdr:col>8</xdr:col>
      <xdr:colOff>1156014</xdr:colOff>
      <xdr:row>17</xdr:row>
      <xdr:rowOff>76200</xdr:rowOff>
    </xdr:from>
    <xdr:to>
      <xdr:col>10</xdr:col>
      <xdr:colOff>1291239</xdr:colOff>
      <xdr:row>23</xdr:row>
      <xdr:rowOff>157200</xdr:rowOff>
    </xdr:to>
    <xdr:sp macro="" textlink="">
      <xdr:nvSpPr>
        <xdr:cNvPr id="6" name="Rectangle 5">
          <a:extLst>
            <a:ext uri="{FF2B5EF4-FFF2-40B4-BE49-F238E27FC236}">
              <a16:creationId xmlns:a16="http://schemas.microsoft.com/office/drawing/2014/main" id="{596A6B63-2941-4226-81AF-A4626F54DDDB}"/>
            </a:ext>
          </a:extLst>
        </xdr:cNvPr>
        <xdr:cNvSpPr/>
      </xdr:nvSpPr>
      <xdr:spPr>
        <a:xfrm>
          <a:off x="7715564" y="327660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POTENTIAL LEADER</a:t>
          </a:r>
        </a:p>
      </xdr:txBody>
    </xdr:sp>
    <xdr:clientData/>
  </xdr:twoCellAnchor>
  <xdr:twoCellAnchor>
    <xdr:from>
      <xdr:col>8</xdr:col>
      <xdr:colOff>1497490</xdr:colOff>
      <xdr:row>20</xdr:row>
      <xdr:rowOff>13260</xdr:rowOff>
    </xdr:from>
    <xdr:to>
      <xdr:col>10</xdr:col>
      <xdr:colOff>840715</xdr:colOff>
      <xdr:row>21</xdr:row>
      <xdr:rowOff>76200</xdr:rowOff>
    </xdr:to>
    <xdr:sp macro="" textlink="'Evalutaion 23'!F3">
      <xdr:nvSpPr>
        <xdr:cNvPr id="7" name="Rectangle: Rounded Corners 6">
          <a:extLst>
            <a:ext uri="{FF2B5EF4-FFF2-40B4-BE49-F238E27FC236}">
              <a16:creationId xmlns:a16="http://schemas.microsoft.com/office/drawing/2014/main" id="{2F389AD0-6DE5-4202-B03D-C46555D4C472}"/>
            </a:ext>
          </a:extLst>
        </xdr:cNvPr>
        <xdr:cNvSpPr/>
      </xdr:nvSpPr>
      <xdr:spPr>
        <a:xfrm>
          <a:off x="8057040" y="3753410"/>
          <a:ext cx="1060900" cy="247090"/>
        </a:xfrm>
        <a:prstGeom prst="roundRect">
          <a:avLst>
            <a:gd name="adj" fmla="val 50000"/>
          </a:avLst>
        </a:prstGeom>
        <a:solidFill>
          <a:srgbClr val="39A0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75D8B00D-44B3-4FDE-BFEA-82B20BA35C97}" type="TxLink">
            <a:rPr lang="en-US" sz="1100" b="0" i="0" u="none" strike="noStrike">
              <a:solidFill>
                <a:srgbClr val="000000"/>
              </a:solidFill>
              <a:effectLst/>
              <a:latin typeface="Calibri"/>
              <a:ea typeface="Calibri"/>
              <a:cs typeface="Calibri"/>
            </a:rPr>
            <a:pPr algn="ctr"/>
            <a:t>23</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24</xdr:row>
      <xdr:rowOff>14287</xdr:rowOff>
    </xdr:from>
    <xdr:to>
      <xdr:col>10</xdr:col>
      <xdr:colOff>1291239</xdr:colOff>
      <xdr:row>30</xdr:row>
      <xdr:rowOff>95287</xdr:rowOff>
    </xdr:to>
    <xdr:sp macro="" textlink="">
      <xdr:nvSpPr>
        <xdr:cNvPr id="8" name="Rectangle 7">
          <a:extLst>
            <a:ext uri="{FF2B5EF4-FFF2-40B4-BE49-F238E27FC236}">
              <a16:creationId xmlns:a16="http://schemas.microsoft.com/office/drawing/2014/main" id="{57C6C4E2-F4A5-4F08-81CB-33688D7661ED}"/>
            </a:ext>
          </a:extLst>
        </xdr:cNvPr>
        <xdr:cNvSpPr/>
      </xdr:nvSpPr>
      <xdr:spPr>
        <a:xfrm>
          <a:off x="7715564" y="447833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GROWTH PROSPECT</a:t>
          </a:r>
        </a:p>
      </xdr:txBody>
    </xdr:sp>
    <xdr:clientData/>
  </xdr:twoCellAnchor>
  <xdr:twoCellAnchor>
    <xdr:from>
      <xdr:col>8</xdr:col>
      <xdr:colOff>1497490</xdr:colOff>
      <xdr:row>26</xdr:row>
      <xdr:rowOff>141847</xdr:rowOff>
    </xdr:from>
    <xdr:to>
      <xdr:col>10</xdr:col>
      <xdr:colOff>840715</xdr:colOff>
      <xdr:row>28</xdr:row>
      <xdr:rowOff>14287</xdr:rowOff>
    </xdr:to>
    <xdr:sp macro="" textlink="'Evalutaion 23'!F4">
      <xdr:nvSpPr>
        <xdr:cNvPr id="9" name="Rectangle: Rounded Corners 8">
          <a:extLst>
            <a:ext uri="{FF2B5EF4-FFF2-40B4-BE49-F238E27FC236}">
              <a16:creationId xmlns:a16="http://schemas.microsoft.com/office/drawing/2014/main" id="{1972DA90-DD46-4DA9-9195-E788E8AAAFD5}"/>
            </a:ext>
          </a:extLst>
        </xdr:cNvPr>
        <xdr:cNvSpPr/>
      </xdr:nvSpPr>
      <xdr:spPr>
        <a:xfrm>
          <a:off x="8057040" y="4974197"/>
          <a:ext cx="1060900" cy="22804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4D85C6AB-217F-414F-93BF-F8E44AC560B3}" type="TxLink">
            <a:rPr lang="en-US" sz="1100" b="0" i="0" u="none" strike="noStrike">
              <a:solidFill>
                <a:srgbClr val="000000"/>
              </a:solidFill>
              <a:effectLst/>
              <a:latin typeface="Calibri"/>
              <a:ea typeface="Calibri"/>
              <a:cs typeface="Calibri"/>
            </a:rPr>
            <a:pPr algn="ctr"/>
            <a:t>5</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30</xdr:row>
      <xdr:rowOff>133350</xdr:rowOff>
    </xdr:from>
    <xdr:to>
      <xdr:col>10</xdr:col>
      <xdr:colOff>1291239</xdr:colOff>
      <xdr:row>37</xdr:row>
      <xdr:rowOff>23850</xdr:rowOff>
    </xdr:to>
    <xdr:sp macro="" textlink="">
      <xdr:nvSpPr>
        <xdr:cNvPr id="10" name="Rectangle 9">
          <a:extLst>
            <a:ext uri="{FF2B5EF4-FFF2-40B4-BE49-F238E27FC236}">
              <a16:creationId xmlns:a16="http://schemas.microsoft.com/office/drawing/2014/main" id="{488CCF8E-64EE-40AC-A645-6C4242144A5D}"/>
            </a:ext>
          </a:extLst>
        </xdr:cNvPr>
        <xdr:cNvSpPr/>
      </xdr:nvSpPr>
      <xdr:spPr>
        <a:xfrm>
          <a:off x="7715564" y="568642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 </a:t>
          </a:r>
          <a:r>
            <a:rPr lang="tr-TR"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EMERGING TALENT</a:t>
          </a:r>
          <a:endPar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8</xdr:col>
      <xdr:colOff>1497490</xdr:colOff>
      <xdr:row>33</xdr:row>
      <xdr:rowOff>70410</xdr:rowOff>
    </xdr:from>
    <xdr:to>
      <xdr:col>10</xdr:col>
      <xdr:colOff>840715</xdr:colOff>
      <xdr:row>34</xdr:row>
      <xdr:rowOff>133350</xdr:rowOff>
    </xdr:to>
    <xdr:sp macro="" textlink="'Evalutaion 23'!F5">
      <xdr:nvSpPr>
        <xdr:cNvPr id="11" name="Rectangle: Rounded Corners 10">
          <a:extLst>
            <a:ext uri="{FF2B5EF4-FFF2-40B4-BE49-F238E27FC236}">
              <a16:creationId xmlns:a16="http://schemas.microsoft.com/office/drawing/2014/main" id="{61985C60-DD00-4FED-A598-FB6CB89FAED5}"/>
            </a:ext>
          </a:extLst>
        </xdr:cNvPr>
        <xdr:cNvSpPr/>
      </xdr:nvSpPr>
      <xdr:spPr>
        <a:xfrm>
          <a:off x="8057040" y="6163235"/>
          <a:ext cx="106090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0BE18A74-131C-4DAD-B3B2-C179A8724795}" type="TxLink">
            <a:rPr lang="en-US" sz="1100" b="0" i="0" u="none" strike="noStrike">
              <a:solidFill>
                <a:srgbClr val="000000"/>
              </a:solidFill>
              <a:effectLst/>
              <a:latin typeface="Calibri"/>
              <a:ea typeface="Calibri"/>
              <a:cs typeface="Calibri"/>
            </a:rPr>
            <a:pPr marL="0" indent="0" algn="ctr"/>
            <a:t>0</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17</xdr:row>
      <xdr:rowOff>76200</xdr:rowOff>
    </xdr:from>
    <xdr:to>
      <xdr:col>8</xdr:col>
      <xdr:colOff>1129314</xdr:colOff>
      <xdr:row>23</xdr:row>
      <xdr:rowOff>157200</xdr:rowOff>
    </xdr:to>
    <xdr:sp macro="" textlink="">
      <xdr:nvSpPr>
        <xdr:cNvPr id="12" name="Rectangle 11">
          <a:extLst>
            <a:ext uri="{FF2B5EF4-FFF2-40B4-BE49-F238E27FC236}">
              <a16:creationId xmlns:a16="http://schemas.microsoft.com/office/drawing/2014/main" id="{C4019780-48E3-409D-B812-F498989B1588}"/>
            </a:ext>
          </a:extLst>
        </xdr:cNvPr>
        <xdr:cNvSpPr/>
      </xdr:nvSpPr>
      <xdr:spPr>
        <a:xfrm>
          <a:off x="5845489" y="327660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HIGH ACHIEVER</a:t>
          </a:r>
        </a:p>
      </xdr:txBody>
    </xdr:sp>
    <xdr:clientData/>
  </xdr:twoCellAnchor>
  <xdr:twoCellAnchor>
    <xdr:from>
      <xdr:col>6</xdr:col>
      <xdr:colOff>1335565</xdr:colOff>
      <xdr:row>20</xdr:row>
      <xdr:rowOff>13260</xdr:rowOff>
    </xdr:from>
    <xdr:to>
      <xdr:col>8</xdr:col>
      <xdr:colOff>678790</xdr:colOff>
      <xdr:row>21</xdr:row>
      <xdr:rowOff>76200</xdr:rowOff>
    </xdr:to>
    <xdr:sp macro="" textlink="'Evalutaion 23'!E3">
      <xdr:nvSpPr>
        <xdr:cNvPr id="13" name="Rectangle: Rounded Corners 12">
          <a:extLst>
            <a:ext uri="{FF2B5EF4-FFF2-40B4-BE49-F238E27FC236}">
              <a16:creationId xmlns:a16="http://schemas.microsoft.com/office/drawing/2014/main" id="{9397512C-5E8A-4D83-962F-A24A73404DB4}"/>
            </a:ext>
          </a:extLst>
        </xdr:cNvPr>
        <xdr:cNvSpPr/>
      </xdr:nvSpPr>
      <xdr:spPr>
        <a:xfrm>
          <a:off x="6183790" y="3753410"/>
          <a:ext cx="1054550" cy="24709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E4E4AEBB-EDCA-40E1-87E5-8FD33A3BEBD9}" type="TxLink">
            <a:rPr lang="en-US" sz="1100" b="0" i="0" u="none" strike="noStrike">
              <a:solidFill>
                <a:srgbClr val="000000"/>
              </a:solidFill>
              <a:effectLst/>
              <a:latin typeface="Calibri"/>
              <a:ea typeface="Calibri"/>
              <a:cs typeface="Calibri"/>
            </a:rPr>
            <a:pPr algn="ctr"/>
            <a:t>3</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6</xdr:col>
      <xdr:colOff>994089</xdr:colOff>
      <xdr:row>24</xdr:row>
      <xdr:rowOff>14287</xdr:rowOff>
    </xdr:from>
    <xdr:to>
      <xdr:col>8</xdr:col>
      <xdr:colOff>1129314</xdr:colOff>
      <xdr:row>30</xdr:row>
      <xdr:rowOff>95287</xdr:rowOff>
    </xdr:to>
    <xdr:sp macro="" textlink="">
      <xdr:nvSpPr>
        <xdr:cNvPr id="14" name="Rectangle 13">
          <a:extLst>
            <a:ext uri="{FF2B5EF4-FFF2-40B4-BE49-F238E27FC236}">
              <a16:creationId xmlns:a16="http://schemas.microsoft.com/office/drawing/2014/main" id="{7E96BCBD-AA52-4D56-B055-24FE9AB47FCE}"/>
            </a:ext>
          </a:extLst>
        </xdr:cNvPr>
        <xdr:cNvSpPr/>
      </xdr:nvSpPr>
      <xdr:spPr>
        <a:xfrm>
          <a:off x="5845489" y="447833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STEADY PERFORMER</a:t>
          </a:r>
        </a:p>
      </xdr:txBody>
    </xdr:sp>
    <xdr:clientData/>
  </xdr:twoCellAnchor>
  <xdr:twoCellAnchor>
    <xdr:from>
      <xdr:col>6</xdr:col>
      <xdr:colOff>1335565</xdr:colOff>
      <xdr:row>26</xdr:row>
      <xdr:rowOff>141847</xdr:rowOff>
    </xdr:from>
    <xdr:to>
      <xdr:col>8</xdr:col>
      <xdr:colOff>678790</xdr:colOff>
      <xdr:row>28</xdr:row>
      <xdr:rowOff>14287</xdr:rowOff>
    </xdr:to>
    <xdr:sp macro="" textlink="'Evalutaion 23'!E4">
      <xdr:nvSpPr>
        <xdr:cNvPr id="15" name="Rectangle: Rounded Corners 14">
          <a:extLst>
            <a:ext uri="{FF2B5EF4-FFF2-40B4-BE49-F238E27FC236}">
              <a16:creationId xmlns:a16="http://schemas.microsoft.com/office/drawing/2014/main" id="{E3240AD7-7264-46AF-8380-BA5A6FE68D0B}"/>
            </a:ext>
          </a:extLst>
        </xdr:cNvPr>
        <xdr:cNvSpPr/>
      </xdr:nvSpPr>
      <xdr:spPr>
        <a:xfrm>
          <a:off x="6183790" y="4974197"/>
          <a:ext cx="1054550" cy="22804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26988D03-F45D-41E8-82B6-A2E8FE59B532}" type="TxLink">
            <a:rPr lang="en-US" sz="1100" b="0" i="0" u="none" strike="noStrike">
              <a:solidFill>
                <a:srgbClr val="000000"/>
              </a:solidFill>
              <a:effectLst/>
              <a:latin typeface="Calibri"/>
              <a:ea typeface="Calibri"/>
              <a:cs typeface="Calibri"/>
            </a:rPr>
            <a:pPr marL="0" indent="0" algn="ctr"/>
            <a:t>52</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30</xdr:row>
      <xdr:rowOff>133350</xdr:rowOff>
    </xdr:from>
    <xdr:to>
      <xdr:col>8</xdr:col>
      <xdr:colOff>1129314</xdr:colOff>
      <xdr:row>37</xdr:row>
      <xdr:rowOff>23850</xdr:rowOff>
    </xdr:to>
    <xdr:sp macro="" textlink="">
      <xdr:nvSpPr>
        <xdr:cNvPr id="16" name="Rectangle 15">
          <a:extLst>
            <a:ext uri="{FF2B5EF4-FFF2-40B4-BE49-F238E27FC236}">
              <a16:creationId xmlns:a16="http://schemas.microsoft.com/office/drawing/2014/main" id="{E4A797D4-79D0-4D1B-9444-62E713DB2A42}"/>
            </a:ext>
          </a:extLst>
        </xdr:cNvPr>
        <xdr:cNvSpPr/>
      </xdr:nvSpPr>
      <xdr:spPr>
        <a:xfrm>
          <a:off x="5845489" y="568642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DEVELOPMENT OPPORTUNITY</a:t>
          </a:r>
        </a:p>
      </xdr:txBody>
    </xdr:sp>
    <xdr:clientData/>
  </xdr:twoCellAnchor>
  <xdr:twoCellAnchor>
    <xdr:from>
      <xdr:col>6</xdr:col>
      <xdr:colOff>1335565</xdr:colOff>
      <xdr:row>33</xdr:row>
      <xdr:rowOff>70410</xdr:rowOff>
    </xdr:from>
    <xdr:to>
      <xdr:col>8</xdr:col>
      <xdr:colOff>678790</xdr:colOff>
      <xdr:row>34</xdr:row>
      <xdr:rowOff>133350</xdr:rowOff>
    </xdr:to>
    <xdr:sp macro="" textlink="'Evalutaion 23'!E5">
      <xdr:nvSpPr>
        <xdr:cNvPr id="17" name="Rectangle: Rounded Corners 16">
          <a:extLst>
            <a:ext uri="{FF2B5EF4-FFF2-40B4-BE49-F238E27FC236}">
              <a16:creationId xmlns:a16="http://schemas.microsoft.com/office/drawing/2014/main" id="{960DDFFE-A017-4DCD-A3D1-C2FCF8D44920}"/>
            </a:ext>
          </a:extLst>
        </xdr:cNvPr>
        <xdr:cNvSpPr/>
      </xdr:nvSpPr>
      <xdr:spPr>
        <a:xfrm>
          <a:off x="6183790" y="6163235"/>
          <a:ext cx="1054550" cy="24709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C6A6467E-22F3-4EF1-B771-A65B46AB513B}" type="TxLink">
            <a:rPr lang="en-US" sz="1100" b="0" i="0" u="none" strike="noStrike">
              <a:solidFill>
                <a:srgbClr val="000000"/>
              </a:solidFill>
              <a:effectLst/>
              <a:latin typeface="Calibri"/>
              <a:ea typeface="Calibri"/>
              <a:cs typeface="Calibri"/>
            </a:rPr>
            <a:pPr algn="ctr"/>
            <a:t>0</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17</xdr:row>
      <xdr:rowOff>76200</xdr:rowOff>
    </xdr:from>
    <xdr:to>
      <xdr:col>6</xdr:col>
      <xdr:colOff>967389</xdr:colOff>
      <xdr:row>23</xdr:row>
      <xdr:rowOff>157200</xdr:rowOff>
    </xdr:to>
    <xdr:sp macro="" textlink="">
      <xdr:nvSpPr>
        <xdr:cNvPr id="18" name="Rectangle 17">
          <a:extLst>
            <a:ext uri="{FF2B5EF4-FFF2-40B4-BE49-F238E27FC236}">
              <a16:creationId xmlns:a16="http://schemas.microsoft.com/office/drawing/2014/main" id="{C82877B9-09A4-4CCE-AA74-2FF39F4C57D0}"/>
            </a:ext>
          </a:extLst>
        </xdr:cNvPr>
        <xdr:cNvSpPr/>
      </xdr:nvSpPr>
      <xdr:spPr>
        <a:xfrm>
          <a:off x="3753164" y="3276600"/>
          <a:ext cx="205927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STAR PERFORMER</a:t>
          </a:r>
        </a:p>
      </xdr:txBody>
    </xdr:sp>
    <xdr:clientData/>
  </xdr:twoCellAnchor>
  <xdr:twoCellAnchor>
    <xdr:from>
      <xdr:col>4</xdr:col>
      <xdr:colOff>1173640</xdr:colOff>
      <xdr:row>20</xdr:row>
      <xdr:rowOff>13260</xdr:rowOff>
    </xdr:from>
    <xdr:to>
      <xdr:col>6</xdr:col>
      <xdr:colOff>516865</xdr:colOff>
      <xdr:row>21</xdr:row>
      <xdr:rowOff>76200</xdr:rowOff>
    </xdr:to>
    <xdr:sp macro="" textlink="'Evalutaion 23'!D3">
      <xdr:nvSpPr>
        <xdr:cNvPr id="19" name="Rectangle: Rounded Corners 18">
          <a:extLst>
            <a:ext uri="{FF2B5EF4-FFF2-40B4-BE49-F238E27FC236}">
              <a16:creationId xmlns:a16="http://schemas.microsoft.com/office/drawing/2014/main" id="{6A0F6866-96E8-4BBA-8A66-38F30B700483}"/>
            </a:ext>
          </a:extLst>
        </xdr:cNvPr>
        <xdr:cNvSpPr/>
      </xdr:nvSpPr>
      <xdr:spPr>
        <a:xfrm>
          <a:off x="4094640" y="3753410"/>
          <a:ext cx="127045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D4506CF2-BE81-4F11-8067-A772799CF86E}" type="TxLink">
            <a:rPr lang="en-US" sz="1100" b="0" i="0" u="none" strike="noStrike">
              <a:solidFill>
                <a:srgbClr val="000000"/>
              </a:solidFill>
              <a:effectLst/>
              <a:latin typeface="Calibri"/>
              <a:ea typeface="Calibri"/>
              <a:cs typeface="Calibri"/>
            </a:rPr>
            <a:pPr marL="0" indent="0" algn="ctr"/>
            <a:t>3</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4</xdr:col>
      <xdr:colOff>832164</xdr:colOff>
      <xdr:row>24</xdr:row>
      <xdr:rowOff>14287</xdr:rowOff>
    </xdr:from>
    <xdr:to>
      <xdr:col>6</xdr:col>
      <xdr:colOff>967389</xdr:colOff>
      <xdr:row>30</xdr:row>
      <xdr:rowOff>95287</xdr:rowOff>
    </xdr:to>
    <xdr:sp macro="" textlink="">
      <xdr:nvSpPr>
        <xdr:cNvPr id="20" name="Rectangle 19">
          <a:extLst>
            <a:ext uri="{FF2B5EF4-FFF2-40B4-BE49-F238E27FC236}">
              <a16:creationId xmlns:a16="http://schemas.microsoft.com/office/drawing/2014/main" id="{87856D9C-CBAE-4CD6-ADF9-9E75F4499D17}"/>
            </a:ext>
          </a:extLst>
        </xdr:cNvPr>
        <xdr:cNvSpPr/>
      </xdr:nvSpPr>
      <xdr:spPr>
        <a:xfrm>
          <a:off x="3753164" y="4478337"/>
          <a:ext cx="205927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SOLID CONTRIBUTOR</a:t>
          </a:r>
        </a:p>
      </xdr:txBody>
    </xdr:sp>
    <xdr:clientData/>
  </xdr:twoCellAnchor>
  <xdr:twoCellAnchor>
    <xdr:from>
      <xdr:col>4</xdr:col>
      <xdr:colOff>1173640</xdr:colOff>
      <xdr:row>26</xdr:row>
      <xdr:rowOff>141847</xdr:rowOff>
    </xdr:from>
    <xdr:to>
      <xdr:col>6</xdr:col>
      <xdr:colOff>516865</xdr:colOff>
      <xdr:row>28</xdr:row>
      <xdr:rowOff>14287</xdr:rowOff>
    </xdr:to>
    <xdr:sp macro="" textlink="'Evalutaion 23'!D4">
      <xdr:nvSpPr>
        <xdr:cNvPr id="21" name="Rectangle: Rounded Corners 20">
          <a:extLst>
            <a:ext uri="{FF2B5EF4-FFF2-40B4-BE49-F238E27FC236}">
              <a16:creationId xmlns:a16="http://schemas.microsoft.com/office/drawing/2014/main" id="{5B88B22C-ADB1-4FDA-926B-680186FC8B65}"/>
            </a:ext>
          </a:extLst>
        </xdr:cNvPr>
        <xdr:cNvSpPr/>
      </xdr:nvSpPr>
      <xdr:spPr>
        <a:xfrm>
          <a:off x="4094640" y="4974197"/>
          <a:ext cx="1270450" cy="22804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D5CA8577-9743-4160-B3EA-C0C49E8E501D}" type="TxLink">
            <a:rPr lang="en-US" sz="1100" b="0" i="0" u="none" strike="noStrike">
              <a:solidFill>
                <a:srgbClr val="000000"/>
              </a:solidFill>
              <a:effectLst/>
              <a:latin typeface="Calibri"/>
              <a:ea typeface="Calibri"/>
              <a:cs typeface="Calibri"/>
            </a:rPr>
            <a:pPr algn="ctr"/>
            <a:t>30</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30</xdr:row>
      <xdr:rowOff>133350</xdr:rowOff>
    </xdr:from>
    <xdr:to>
      <xdr:col>6</xdr:col>
      <xdr:colOff>967389</xdr:colOff>
      <xdr:row>37</xdr:row>
      <xdr:rowOff>23850</xdr:rowOff>
    </xdr:to>
    <xdr:sp macro="" textlink="">
      <xdr:nvSpPr>
        <xdr:cNvPr id="22" name="Rectangle 21">
          <a:extLst>
            <a:ext uri="{FF2B5EF4-FFF2-40B4-BE49-F238E27FC236}">
              <a16:creationId xmlns:a16="http://schemas.microsoft.com/office/drawing/2014/main" id="{985C1F3E-FC6E-4F36-AA89-8997D0AFD7BC}"/>
            </a:ext>
          </a:extLst>
        </xdr:cNvPr>
        <xdr:cNvSpPr/>
      </xdr:nvSpPr>
      <xdr:spPr>
        <a:xfrm>
          <a:off x="3753164" y="5686425"/>
          <a:ext cx="205927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IMPROVEMENT FOCUS</a:t>
          </a:r>
        </a:p>
      </xdr:txBody>
    </xdr:sp>
    <xdr:clientData/>
  </xdr:twoCellAnchor>
  <xdr:twoCellAnchor>
    <xdr:from>
      <xdr:col>4</xdr:col>
      <xdr:colOff>1173640</xdr:colOff>
      <xdr:row>33</xdr:row>
      <xdr:rowOff>70410</xdr:rowOff>
    </xdr:from>
    <xdr:to>
      <xdr:col>6</xdr:col>
      <xdr:colOff>516865</xdr:colOff>
      <xdr:row>34</xdr:row>
      <xdr:rowOff>133350</xdr:rowOff>
    </xdr:to>
    <xdr:sp macro="" textlink="'Evalutaion 23'!D5">
      <xdr:nvSpPr>
        <xdr:cNvPr id="23" name="Rectangle: Rounded Corners 22">
          <a:extLst>
            <a:ext uri="{FF2B5EF4-FFF2-40B4-BE49-F238E27FC236}">
              <a16:creationId xmlns:a16="http://schemas.microsoft.com/office/drawing/2014/main" id="{B6CFAE99-394F-4052-A6E5-3F48AC417212}"/>
            </a:ext>
          </a:extLst>
        </xdr:cNvPr>
        <xdr:cNvSpPr/>
      </xdr:nvSpPr>
      <xdr:spPr>
        <a:xfrm>
          <a:off x="4094640" y="6163235"/>
          <a:ext cx="1270450" cy="247090"/>
        </a:xfrm>
        <a:prstGeom prst="roundRect">
          <a:avLst>
            <a:gd name="adj" fmla="val 50000"/>
          </a:avLst>
        </a:prstGeom>
        <a:solidFill>
          <a:srgbClr val="FB59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E704923A-C0CA-470C-9BD8-3E8840C777CE}" type="TxLink">
            <a:rPr lang="en-US" sz="1100" b="0" i="0" u="none" strike="noStrike">
              <a:solidFill>
                <a:srgbClr val="000000"/>
              </a:solidFill>
              <a:effectLst/>
              <a:latin typeface="Calibri"/>
              <a:ea typeface="Calibri"/>
              <a:cs typeface="Calibri"/>
            </a:rPr>
            <a:pPr algn="ctr"/>
            <a:t>2</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830724</xdr:colOff>
      <xdr:row>37</xdr:row>
      <xdr:rowOff>76912</xdr:rowOff>
    </xdr:from>
    <xdr:to>
      <xdr:col>6</xdr:col>
      <xdr:colOff>965949</xdr:colOff>
      <xdr:row>38</xdr:row>
      <xdr:rowOff>95250</xdr:rowOff>
    </xdr:to>
    <xdr:sp macro="" textlink="">
      <xdr:nvSpPr>
        <xdr:cNvPr id="24" name="Rectangle 23">
          <a:extLst>
            <a:ext uri="{FF2B5EF4-FFF2-40B4-BE49-F238E27FC236}">
              <a16:creationId xmlns:a16="http://schemas.microsoft.com/office/drawing/2014/main" id="{A0CCDC4E-094B-44E0-A1A9-763E2F8FAE67}"/>
            </a:ext>
          </a:extLst>
        </xdr:cNvPr>
        <xdr:cNvSpPr/>
      </xdr:nvSpPr>
      <xdr:spPr>
        <a:xfrm>
          <a:off x="3751724" y="6896812"/>
          <a:ext cx="2059275"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6</xdr:col>
      <xdr:colOff>992649</xdr:colOff>
      <xdr:row>37</xdr:row>
      <xdr:rowOff>76912</xdr:rowOff>
    </xdr:from>
    <xdr:to>
      <xdr:col>8</xdr:col>
      <xdr:colOff>1127874</xdr:colOff>
      <xdr:row>38</xdr:row>
      <xdr:rowOff>95250</xdr:rowOff>
    </xdr:to>
    <xdr:sp macro="" textlink="">
      <xdr:nvSpPr>
        <xdr:cNvPr id="25" name="Rectangle 24">
          <a:extLst>
            <a:ext uri="{FF2B5EF4-FFF2-40B4-BE49-F238E27FC236}">
              <a16:creationId xmlns:a16="http://schemas.microsoft.com/office/drawing/2014/main" id="{20E430A4-A28A-4B57-A20C-926E84E1D61F}"/>
            </a:ext>
          </a:extLst>
        </xdr:cNvPr>
        <xdr:cNvSpPr/>
      </xdr:nvSpPr>
      <xdr:spPr>
        <a:xfrm>
          <a:off x="5840874" y="6896812"/>
          <a:ext cx="1852900"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8</xdr:col>
      <xdr:colOff>1154574</xdr:colOff>
      <xdr:row>37</xdr:row>
      <xdr:rowOff>76912</xdr:rowOff>
    </xdr:from>
    <xdr:to>
      <xdr:col>10</xdr:col>
      <xdr:colOff>1289799</xdr:colOff>
      <xdr:row>38</xdr:row>
      <xdr:rowOff>95250</xdr:rowOff>
    </xdr:to>
    <xdr:sp macro="" textlink="">
      <xdr:nvSpPr>
        <xdr:cNvPr id="26" name="Rectangle 25">
          <a:extLst>
            <a:ext uri="{FF2B5EF4-FFF2-40B4-BE49-F238E27FC236}">
              <a16:creationId xmlns:a16="http://schemas.microsoft.com/office/drawing/2014/main" id="{0CEE2267-A7D3-4C2C-B080-48B257A7C586}"/>
            </a:ext>
          </a:extLst>
        </xdr:cNvPr>
        <xdr:cNvSpPr/>
      </xdr:nvSpPr>
      <xdr:spPr>
        <a:xfrm>
          <a:off x="7714124" y="6896812"/>
          <a:ext cx="1849725"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4</xdr:col>
      <xdr:colOff>568764</xdr:colOff>
      <xdr:row>30</xdr:row>
      <xdr:rowOff>124905</xdr:rowOff>
    </xdr:from>
    <xdr:to>
      <xdr:col>4</xdr:col>
      <xdr:colOff>777564</xdr:colOff>
      <xdr:row>36</xdr:row>
      <xdr:rowOff>155505</xdr:rowOff>
    </xdr:to>
    <xdr:sp macro="" textlink="">
      <xdr:nvSpPr>
        <xdr:cNvPr id="27" name="Rectangle 26">
          <a:extLst>
            <a:ext uri="{FF2B5EF4-FFF2-40B4-BE49-F238E27FC236}">
              <a16:creationId xmlns:a16="http://schemas.microsoft.com/office/drawing/2014/main" id="{B55073D9-3A53-40AC-86C4-FA27C451E757}"/>
            </a:ext>
          </a:extLst>
        </xdr:cNvPr>
        <xdr:cNvSpPr/>
      </xdr:nvSpPr>
      <xdr:spPr>
        <a:xfrm rot="16200000">
          <a:off x="3035939" y="6131805"/>
          <a:ext cx="111962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4</xdr:col>
      <xdr:colOff>568764</xdr:colOff>
      <xdr:row>23</xdr:row>
      <xdr:rowOff>186817</xdr:rowOff>
    </xdr:from>
    <xdr:to>
      <xdr:col>4</xdr:col>
      <xdr:colOff>777564</xdr:colOff>
      <xdr:row>30</xdr:row>
      <xdr:rowOff>26917</xdr:rowOff>
    </xdr:to>
    <xdr:sp macro="" textlink="">
      <xdr:nvSpPr>
        <xdr:cNvPr id="28" name="Rectangle 27">
          <a:extLst>
            <a:ext uri="{FF2B5EF4-FFF2-40B4-BE49-F238E27FC236}">
              <a16:creationId xmlns:a16="http://schemas.microsoft.com/office/drawing/2014/main" id="{60DEF947-74E4-40A1-93CF-5F6750FE5E7C}"/>
            </a:ext>
          </a:extLst>
        </xdr:cNvPr>
        <xdr:cNvSpPr/>
      </xdr:nvSpPr>
      <xdr:spPr>
        <a:xfrm rot="16200000">
          <a:off x="3039114" y="4923717"/>
          <a:ext cx="111327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4</xdr:col>
      <xdr:colOff>565465</xdr:colOff>
      <xdr:row>17</xdr:row>
      <xdr:rowOff>93224</xdr:rowOff>
    </xdr:from>
    <xdr:to>
      <xdr:col>4</xdr:col>
      <xdr:colOff>774265</xdr:colOff>
      <xdr:row>23</xdr:row>
      <xdr:rowOff>123824</xdr:rowOff>
    </xdr:to>
    <xdr:sp macro="" textlink="">
      <xdr:nvSpPr>
        <xdr:cNvPr id="29" name="Rectangle 28">
          <a:extLst>
            <a:ext uri="{FF2B5EF4-FFF2-40B4-BE49-F238E27FC236}">
              <a16:creationId xmlns:a16="http://schemas.microsoft.com/office/drawing/2014/main" id="{0990B7C8-518B-44F3-9A8C-E6B16F68C3BE}"/>
            </a:ext>
          </a:extLst>
        </xdr:cNvPr>
        <xdr:cNvSpPr/>
      </xdr:nvSpPr>
      <xdr:spPr>
        <a:xfrm rot="16200000">
          <a:off x="3031052" y="3749037"/>
          <a:ext cx="1119625" cy="208800"/>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10</xdr:col>
      <xdr:colOff>1066800</xdr:colOff>
      <xdr:row>17</xdr:row>
      <xdr:rowOff>104776</xdr:rowOff>
    </xdr:from>
    <xdr:to>
      <xdr:col>10</xdr:col>
      <xdr:colOff>1228725</xdr:colOff>
      <xdr:row>18</xdr:row>
      <xdr:rowOff>66676</xdr:rowOff>
    </xdr:to>
    <xdr:sp macro="" textlink="">
      <xdr:nvSpPr>
        <xdr:cNvPr id="30" name="Star: 5 Points 29">
          <a:extLst>
            <a:ext uri="{FF2B5EF4-FFF2-40B4-BE49-F238E27FC236}">
              <a16:creationId xmlns:a16="http://schemas.microsoft.com/office/drawing/2014/main" id="{AEB8EF67-E3AE-4E8F-8E29-AA5B6A4F8082}"/>
            </a:ext>
          </a:extLst>
        </xdr:cNvPr>
        <xdr:cNvSpPr/>
      </xdr:nvSpPr>
      <xdr:spPr>
        <a:xfrm>
          <a:off x="9344025" y="3302001"/>
          <a:ext cx="158750" cy="1428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523874</xdr:colOff>
      <xdr:row>32</xdr:row>
      <xdr:rowOff>85725</xdr:rowOff>
    </xdr:from>
    <xdr:to>
      <xdr:col>6</xdr:col>
      <xdr:colOff>971549</xdr:colOff>
      <xdr:row>33</xdr:row>
      <xdr:rowOff>171450</xdr:rowOff>
    </xdr:to>
    <xdr:sp macro="" textlink="">
      <xdr:nvSpPr>
        <xdr:cNvPr id="31" name="TextBox 30">
          <a:extLst>
            <a:ext uri="{FF2B5EF4-FFF2-40B4-BE49-F238E27FC236}">
              <a16:creationId xmlns:a16="http://schemas.microsoft.com/office/drawing/2014/main" id="{96BDD3E3-9063-45AC-BB91-0E2595C2254B}"/>
            </a:ext>
          </a:extLst>
        </xdr:cNvPr>
        <xdr:cNvSpPr txBox="1"/>
      </xdr:nvSpPr>
      <xdr:spPr>
        <a:xfrm>
          <a:off x="5375274" y="5997575"/>
          <a:ext cx="444500" cy="26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a:t>
          </a:r>
        </a:p>
      </xdr:txBody>
    </xdr:sp>
    <xdr:clientData/>
  </xdr:twoCellAnchor>
  <xdr:twoCellAnchor>
    <xdr:from>
      <xdr:col>8</xdr:col>
      <xdr:colOff>708339</xdr:colOff>
      <xdr:row>32</xdr:row>
      <xdr:rowOff>142875</xdr:rowOff>
    </xdr:from>
    <xdr:to>
      <xdr:col>8</xdr:col>
      <xdr:colOff>1156014</xdr:colOff>
      <xdr:row>34</xdr:row>
      <xdr:rowOff>38100</xdr:rowOff>
    </xdr:to>
    <xdr:sp macro="" textlink="">
      <xdr:nvSpPr>
        <xdr:cNvPr id="32" name="TextBox 31">
          <a:extLst>
            <a:ext uri="{FF2B5EF4-FFF2-40B4-BE49-F238E27FC236}">
              <a16:creationId xmlns:a16="http://schemas.microsoft.com/office/drawing/2014/main" id="{1987AF13-3897-4FCD-9B2E-9DB7A38B1CB2}"/>
            </a:ext>
          </a:extLst>
        </xdr:cNvPr>
        <xdr:cNvSpPr txBox="1"/>
      </xdr:nvSpPr>
      <xdr:spPr>
        <a:xfrm>
          <a:off x="7274239" y="605472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B</a:t>
          </a:r>
        </a:p>
      </xdr:txBody>
    </xdr:sp>
    <xdr:clientData/>
  </xdr:twoCellAnchor>
  <xdr:twoCellAnchor>
    <xdr:from>
      <xdr:col>10</xdr:col>
      <xdr:colOff>860739</xdr:colOff>
      <xdr:row>32</xdr:row>
      <xdr:rowOff>142875</xdr:rowOff>
    </xdr:from>
    <xdr:to>
      <xdr:col>10</xdr:col>
      <xdr:colOff>1308414</xdr:colOff>
      <xdr:row>34</xdr:row>
      <xdr:rowOff>38100</xdr:rowOff>
    </xdr:to>
    <xdr:sp macro="" textlink="">
      <xdr:nvSpPr>
        <xdr:cNvPr id="33" name="TextBox 32">
          <a:extLst>
            <a:ext uri="{FF2B5EF4-FFF2-40B4-BE49-F238E27FC236}">
              <a16:creationId xmlns:a16="http://schemas.microsoft.com/office/drawing/2014/main" id="{44AD3193-885A-4591-B03B-5E3EEEA9A06C}"/>
            </a:ext>
          </a:extLst>
        </xdr:cNvPr>
        <xdr:cNvSpPr txBox="1"/>
      </xdr:nvSpPr>
      <xdr:spPr>
        <a:xfrm>
          <a:off x="9141139" y="605472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C</a:t>
          </a:r>
        </a:p>
      </xdr:txBody>
    </xdr:sp>
    <xdr:clientData/>
  </xdr:twoCellAnchor>
  <xdr:twoCellAnchor>
    <xdr:from>
      <xdr:col>6</xdr:col>
      <xdr:colOff>527364</xdr:colOff>
      <xdr:row>26</xdr:row>
      <xdr:rowOff>61912</xdr:rowOff>
    </xdr:from>
    <xdr:to>
      <xdr:col>6</xdr:col>
      <xdr:colOff>975039</xdr:colOff>
      <xdr:row>27</xdr:row>
      <xdr:rowOff>147637</xdr:rowOff>
    </xdr:to>
    <xdr:sp macro="" textlink="">
      <xdr:nvSpPr>
        <xdr:cNvPr id="34" name="TextBox 33">
          <a:extLst>
            <a:ext uri="{FF2B5EF4-FFF2-40B4-BE49-F238E27FC236}">
              <a16:creationId xmlns:a16="http://schemas.microsoft.com/office/drawing/2014/main" id="{11708DD7-D4D0-42D0-A85D-BEFD0243C9F8}"/>
            </a:ext>
          </a:extLst>
        </xdr:cNvPr>
        <xdr:cNvSpPr txBox="1"/>
      </xdr:nvSpPr>
      <xdr:spPr>
        <a:xfrm>
          <a:off x="5372414" y="489426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a:t>
          </a:r>
        </a:p>
      </xdr:txBody>
    </xdr:sp>
    <xdr:clientData/>
  </xdr:twoCellAnchor>
  <xdr:twoCellAnchor>
    <xdr:from>
      <xdr:col>8</xdr:col>
      <xdr:colOff>708339</xdr:colOff>
      <xdr:row>26</xdr:row>
      <xdr:rowOff>71437</xdr:rowOff>
    </xdr:from>
    <xdr:to>
      <xdr:col>8</xdr:col>
      <xdr:colOff>1156014</xdr:colOff>
      <xdr:row>27</xdr:row>
      <xdr:rowOff>157162</xdr:rowOff>
    </xdr:to>
    <xdr:sp macro="" textlink="">
      <xdr:nvSpPr>
        <xdr:cNvPr id="35" name="TextBox 34">
          <a:extLst>
            <a:ext uri="{FF2B5EF4-FFF2-40B4-BE49-F238E27FC236}">
              <a16:creationId xmlns:a16="http://schemas.microsoft.com/office/drawing/2014/main" id="{33C91D64-BE3A-4B5B-BFBB-4BCB16E3F512}"/>
            </a:ext>
          </a:extLst>
        </xdr:cNvPr>
        <xdr:cNvSpPr txBox="1"/>
      </xdr:nvSpPr>
      <xdr:spPr>
        <a:xfrm>
          <a:off x="7274239" y="4897437"/>
          <a:ext cx="441325"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B</a:t>
          </a:r>
        </a:p>
      </xdr:txBody>
    </xdr:sp>
    <xdr:clientData/>
  </xdr:twoCellAnchor>
  <xdr:twoCellAnchor>
    <xdr:from>
      <xdr:col>10</xdr:col>
      <xdr:colOff>870264</xdr:colOff>
      <xdr:row>26</xdr:row>
      <xdr:rowOff>61912</xdr:rowOff>
    </xdr:from>
    <xdr:to>
      <xdr:col>10</xdr:col>
      <xdr:colOff>1317939</xdr:colOff>
      <xdr:row>27</xdr:row>
      <xdr:rowOff>147637</xdr:rowOff>
    </xdr:to>
    <xdr:sp macro="" textlink="">
      <xdr:nvSpPr>
        <xdr:cNvPr id="36" name="TextBox 35">
          <a:extLst>
            <a:ext uri="{FF2B5EF4-FFF2-40B4-BE49-F238E27FC236}">
              <a16:creationId xmlns:a16="http://schemas.microsoft.com/office/drawing/2014/main" id="{15F4C26E-2683-4AEE-B440-5F5884FFFD6A}"/>
            </a:ext>
          </a:extLst>
        </xdr:cNvPr>
        <xdr:cNvSpPr txBox="1"/>
      </xdr:nvSpPr>
      <xdr:spPr>
        <a:xfrm>
          <a:off x="9144314" y="489426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C</a:t>
          </a:r>
        </a:p>
      </xdr:txBody>
    </xdr:sp>
    <xdr:clientData/>
  </xdr:twoCellAnchor>
  <xdr:twoCellAnchor>
    <xdr:from>
      <xdr:col>6</xdr:col>
      <xdr:colOff>536889</xdr:colOff>
      <xdr:row>19</xdr:row>
      <xdr:rowOff>95250</xdr:rowOff>
    </xdr:from>
    <xdr:to>
      <xdr:col>6</xdr:col>
      <xdr:colOff>984564</xdr:colOff>
      <xdr:row>20</xdr:row>
      <xdr:rowOff>180975</xdr:rowOff>
    </xdr:to>
    <xdr:sp macro="" textlink="">
      <xdr:nvSpPr>
        <xdr:cNvPr id="37" name="TextBox 36">
          <a:extLst>
            <a:ext uri="{FF2B5EF4-FFF2-40B4-BE49-F238E27FC236}">
              <a16:creationId xmlns:a16="http://schemas.microsoft.com/office/drawing/2014/main" id="{76C1D3FF-B7B2-4127-9429-D152929A1008}"/>
            </a:ext>
          </a:extLst>
        </xdr:cNvPr>
        <xdr:cNvSpPr txBox="1"/>
      </xdr:nvSpPr>
      <xdr:spPr>
        <a:xfrm>
          <a:off x="5388289" y="3657600"/>
          <a:ext cx="4413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A</a:t>
          </a:r>
        </a:p>
      </xdr:txBody>
    </xdr:sp>
    <xdr:clientData/>
  </xdr:twoCellAnchor>
  <xdr:twoCellAnchor>
    <xdr:from>
      <xdr:col>8</xdr:col>
      <xdr:colOff>708339</xdr:colOff>
      <xdr:row>19</xdr:row>
      <xdr:rowOff>104775</xdr:rowOff>
    </xdr:from>
    <xdr:to>
      <xdr:col>8</xdr:col>
      <xdr:colOff>1156014</xdr:colOff>
      <xdr:row>21</xdr:row>
      <xdr:rowOff>0</xdr:rowOff>
    </xdr:to>
    <xdr:sp macro="" textlink="">
      <xdr:nvSpPr>
        <xdr:cNvPr id="38" name="TextBox 37">
          <a:extLst>
            <a:ext uri="{FF2B5EF4-FFF2-40B4-BE49-F238E27FC236}">
              <a16:creationId xmlns:a16="http://schemas.microsoft.com/office/drawing/2014/main" id="{7CCB857D-7DBF-4B21-AFFD-2C0332AE9B6F}"/>
            </a:ext>
          </a:extLst>
        </xdr:cNvPr>
        <xdr:cNvSpPr txBox="1"/>
      </xdr:nvSpPr>
      <xdr:spPr>
        <a:xfrm>
          <a:off x="7274239" y="3663950"/>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B</a:t>
          </a:r>
        </a:p>
      </xdr:txBody>
    </xdr:sp>
    <xdr:clientData/>
  </xdr:twoCellAnchor>
  <xdr:twoCellAnchor>
    <xdr:from>
      <xdr:col>10</xdr:col>
      <xdr:colOff>851214</xdr:colOff>
      <xdr:row>19</xdr:row>
      <xdr:rowOff>57150</xdr:rowOff>
    </xdr:from>
    <xdr:to>
      <xdr:col>10</xdr:col>
      <xdr:colOff>1298889</xdr:colOff>
      <xdr:row>20</xdr:row>
      <xdr:rowOff>142875</xdr:rowOff>
    </xdr:to>
    <xdr:sp macro="" textlink="">
      <xdr:nvSpPr>
        <xdr:cNvPr id="39" name="TextBox 38">
          <a:extLst>
            <a:ext uri="{FF2B5EF4-FFF2-40B4-BE49-F238E27FC236}">
              <a16:creationId xmlns:a16="http://schemas.microsoft.com/office/drawing/2014/main" id="{8F323452-151F-4CDC-8A93-2DB5D49C7A6C}"/>
            </a:ext>
          </a:extLst>
        </xdr:cNvPr>
        <xdr:cNvSpPr txBox="1"/>
      </xdr:nvSpPr>
      <xdr:spPr>
        <a:xfrm>
          <a:off x="9125264" y="3619500"/>
          <a:ext cx="4540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C</a:t>
          </a:r>
        </a:p>
      </xdr:txBody>
    </xdr:sp>
    <xdr:clientData/>
  </xdr:twoCellAnchor>
  <xdr:twoCellAnchor editAs="absolute">
    <xdr:from>
      <xdr:col>10</xdr:col>
      <xdr:colOff>1423147</xdr:colOff>
      <xdr:row>23</xdr:row>
      <xdr:rowOff>67235</xdr:rowOff>
    </xdr:from>
    <xdr:to>
      <xdr:col>13</xdr:col>
      <xdr:colOff>100853</xdr:colOff>
      <xdr:row>32</xdr:row>
      <xdr:rowOff>179294</xdr:rowOff>
    </xdr:to>
    <mc:AlternateContent xmlns:mc="http://schemas.openxmlformats.org/markup-compatibility/2006" xmlns:sle15="http://schemas.microsoft.com/office/drawing/2012/slicer">
      <mc:Choice Requires="sle15">
        <xdr:graphicFrame macro="">
          <xdr:nvGraphicFramePr>
            <xdr:cNvPr id="40" name="Department 1">
              <a:extLst>
                <a:ext uri="{FF2B5EF4-FFF2-40B4-BE49-F238E27FC236}">
                  <a16:creationId xmlns:a16="http://schemas.microsoft.com/office/drawing/2014/main" id="{467B5027-B6F4-458E-8D15-58145207AF8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300882" y="4560794"/>
              <a:ext cx="6017559" cy="18265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1389530</xdr:colOff>
      <xdr:row>19</xdr:row>
      <xdr:rowOff>29136</xdr:rowOff>
    </xdr:from>
    <xdr:to>
      <xdr:col>13</xdr:col>
      <xdr:colOff>112058</xdr:colOff>
      <xdr:row>22</xdr:row>
      <xdr:rowOff>78441</xdr:rowOff>
    </xdr:to>
    <mc:AlternateContent xmlns:mc="http://schemas.openxmlformats.org/markup-compatibility/2006" xmlns:sle15="http://schemas.microsoft.com/office/drawing/2012/slicer">
      <mc:Choice Requires="sle15">
        <xdr:graphicFrame macro="">
          <xdr:nvGraphicFramePr>
            <xdr:cNvPr id="41" name="Location 2">
              <a:extLst>
                <a:ext uri="{FF2B5EF4-FFF2-40B4-BE49-F238E27FC236}">
                  <a16:creationId xmlns:a16="http://schemas.microsoft.com/office/drawing/2014/main" id="{64D2128E-B866-45D6-987A-525202F7E48D}"/>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9267265" y="3760695"/>
              <a:ext cx="6062381" cy="62080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381314</xdr:colOff>
      <xdr:row>17</xdr:row>
      <xdr:rowOff>49741</xdr:rowOff>
    </xdr:from>
    <xdr:to>
      <xdr:col>4</xdr:col>
      <xdr:colOff>529548</xdr:colOff>
      <xdr:row>36</xdr:row>
      <xdr:rowOff>174241</xdr:rowOff>
    </xdr:to>
    <xdr:sp macro="" textlink="">
      <xdr:nvSpPr>
        <xdr:cNvPr id="2" name="Arrow: Down 1">
          <a:extLst>
            <a:ext uri="{FF2B5EF4-FFF2-40B4-BE49-F238E27FC236}">
              <a16:creationId xmlns:a16="http://schemas.microsoft.com/office/drawing/2014/main" id="{02469CEA-0DB4-4DC7-89CA-2A470C8F11FF}"/>
            </a:ext>
          </a:extLst>
        </xdr:cNvPr>
        <xdr:cNvSpPr/>
      </xdr:nvSpPr>
      <xdr:spPr>
        <a:xfrm flipV="1">
          <a:off x="3305489" y="3246966"/>
          <a:ext cx="145059" cy="3566200"/>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marL="0" indent="0" algn="l"/>
          <a:endParaRPr lang="en-US" sz="1100">
            <a:solidFill>
              <a:schemeClr val="lt1"/>
            </a:solidFill>
            <a:latin typeface="Corbel" panose="020B0503020204020204" pitchFamily="34" charset="0"/>
            <a:ea typeface="+mn-ea"/>
            <a:cs typeface="+mn-cs"/>
          </a:endParaRPr>
        </a:p>
      </xdr:txBody>
    </xdr:sp>
    <xdr:clientData/>
  </xdr:twoCellAnchor>
  <xdr:twoCellAnchor>
    <xdr:from>
      <xdr:col>4</xdr:col>
      <xdr:colOff>826541</xdr:colOff>
      <xdr:row>38</xdr:row>
      <xdr:rowOff>125348</xdr:rowOff>
    </xdr:from>
    <xdr:to>
      <xdr:col>10</xdr:col>
      <xdr:colOff>1232216</xdr:colOff>
      <xdr:row>39</xdr:row>
      <xdr:rowOff>78848</xdr:rowOff>
    </xdr:to>
    <xdr:sp macro="" textlink="">
      <xdr:nvSpPr>
        <xdr:cNvPr id="3" name="Arrow: Down 2">
          <a:extLst>
            <a:ext uri="{FF2B5EF4-FFF2-40B4-BE49-F238E27FC236}">
              <a16:creationId xmlns:a16="http://schemas.microsoft.com/office/drawing/2014/main" id="{ED4E8A59-BB76-4E60-8048-671F8D086403}"/>
            </a:ext>
          </a:extLst>
        </xdr:cNvPr>
        <xdr:cNvSpPr/>
      </xdr:nvSpPr>
      <xdr:spPr>
        <a:xfrm rot="5400000" flipV="1">
          <a:off x="6561254" y="4315685"/>
          <a:ext cx="137650" cy="5752375"/>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algn="l"/>
          <a:endParaRPr lang="en-US" sz="1100">
            <a:latin typeface="Corbel" panose="020B0503020204020204" pitchFamily="34" charset="0"/>
          </a:endParaRPr>
        </a:p>
      </xdr:txBody>
    </xdr:sp>
    <xdr:clientData/>
  </xdr:twoCellAnchor>
  <xdr:twoCellAnchor>
    <xdr:from>
      <xdr:col>6</xdr:col>
      <xdr:colOff>905665</xdr:colOff>
      <xdr:row>39</xdr:row>
      <xdr:rowOff>114300</xdr:rowOff>
    </xdr:from>
    <xdr:to>
      <xdr:col>8</xdr:col>
      <xdr:colOff>1076890</xdr:colOff>
      <xdr:row>40</xdr:row>
      <xdr:rowOff>96027</xdr:rowOff>
    </xdr:to>
    <xdr:sp macro="" textlink="">
      <xdr:nvSpPr>
        <xdr:cNvPr id="4" name="TextBox 3">
          <a:extLst>
            <a:ext uri="{FF2B5EF4-FFF2-40B4-BE49-F238E27FC236}">
              <a16:creationId xmlns:a16="http://schemas.microsoft.com/office/drawing/2014/main" id="{22B73BF4-8904-4198-BEF7-DA3CEBC3DA8D}"/>
            </a:ext>
          </a:extLst>
        </xdr:cNvPr>
        <xdr:cNvSpPr txBox="1"/>
      </xdr:nvSpPr>
      <xdr:spPr>
        <a:xfrm>
          <a:off x="5750715" y="7296150"/>
          <a:ext cx="1885725" cy="162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PERFORMANCE</a:t>
          </a:r>
          <a:endParaRPr lang="en-US" sz="1100" b="0">
            <a:latin typeface="Corbel" panose="020B0503020204020204" pitchFamily="34" charset="0"/>
            <a:cs typeface="Posterama" panose="020B0504020200020000" pitchFamily="34" charset="0"/>
          </a:endParaRPr>
        </a:p>
      </xdr:txBody>
    </xdr:sp>
    <xdr:clientData/>
  </xdr:twoCellAnchor>
  <xdr:twoCellAnchor>
    <xdr:from>
      <xdr:col>4</xdr:col>
      <xdr:colOff>213712</xdr:colOff>
      <xdr:row>22</xdr:row>
      <xdr:rowOff>40669</xdr:rowOff>
    </xdr:from>
    <xdr:to>
      <xdr:col>4</xdr:col>
      <xdr:colOff>381705</xdr:colOff>
      <xdr:row>31</xdr:row>
      <xdr:rowOff>126169</xdr:rowOff>
    </xdr:to>
    <xdr:sp macro="" textlink="">
      <xdr:nvSpPr>
        <xdr:cNvPr id="5" name="TextBox 4">
          <a:extLst>
            <a:ext uri="{FF2B5EF4-FFF2-40B4-BE49-F238E27FC236}">
              <a16:creationId xmlns:a16="http://schemas.microsoft.com/office/drawing/2014/main" id="{81CAECB8-54B9-4B77-A749-2E363CC610FB}"/>
            </a:ext>
          </a:extLst>
        </xdr:cNvPr>
        <xdr:cNvSpPr txBox="1"/>
      </xdr:nvSpPr>
      <xdr:spPr>
        <a:xfrm rot="16200000">
          <a:off x="2367921" y="4919085"/>
          <a:ext cx="1711100" cy="16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POTENTIAL</a:t>
          </a:r>
          <a:endParaRPr lang="en-US" sz="1100" b="0">
            <a:latin typeface="Corbel" panose="020B0503020204020204" pitchFamily="34" charset="0"/>
            <a:cs typeface="Posterama" panose="020B0504020200020000" pitchFamily="34" charset="0"/>
          </a:endParaRPr>
        </a:p>
      </xdr:txBody>
    </xdr:sp>
    <xdr:clientData/>
  </xdr:twoCellAnchor>
  <xdr:twoCellAnchor>
    <xdr:from>
      <xdr:col>8</xdr:col>
      <xdr:colOff>1156014</xdr:colOff>
      <xdr:row>17</xdr:row>
      <xdr:rowOff>76200</xdr:rowOff>
    </xdr:from>
    <xdr:to>
      <xdr:col>10</xdr:col>
      <xdr:colOff>1291239</xdr:colOff>
      <xdr:row>23</xdr:row>
      <xdr:rowOff>157200</xdr:rowOff>
    </xdr:to>
    <xdr:sp macro="" textlink="">
      <xdr:nvSpPr>
        <xdr:cNvPr id="6" name="Rectangle 5">
          <a:extLst>
            <a:ext uri="{FF2B5EF4-FFF2-40B4-BE49-F238E27FC236}">
              <a16:creationId xmlns:a16="http://schemas.microsoft.com/office/drawing/2014/main" id="{E6BCDA34-6147-448D-829B-A98BA4328EDE}"/>
            </a:ext>
          </a:extLst>
        </xdr:cNvPr>
        <xdr:cNvSpPr/>
      </xdr:nvSpPr>
      <xdr:spPr>
        <a:xfrm>
          <a:off x="7715564" y="327660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POTENTIAL LEADER</a:t>
          </a:r>
        </a:p>
      </xdr:txBody>
    </xdr:sp>
    <xdr:clientData/>
  </xdr:twoCellAnchor>
  <xdr:twoCellAnchor>
    <xdr:from>
      <xdr:col>8</xdr:col>
      <xdr:colOff>1497490</xdr:colOff>
      <xdr:row>20</xdr:row>
      <xdr:rowOff>13260</xdr:rowOff>
    </xdr:from>
    <xdr:to>
      <xdr:col>10</xdr:col>
      <xdr:colOff>840715</xdr:colOff>
      <xdr:row>21</xdr:row>
      <xdr:rowOff>76200</xdr:rowOff>
    </xdr:to>
    <xdr:sp macro="" textlink="'Evalutaion 24'!G2">
      <xdr:nvSpPr>
        <xdr:cNvPr id="7" name="Rectangle: Rounded Corners 6">
          <a:extLst>
            <a:ext uri="{FF2B5EF4-FFF2-40B4-BE49-F238E27FC236}">
              <a16:creationId xmlns:a16="http://schemas.microsoft.com/office/drawing/2014/main" id="{6F46F96D-A8D4-47B4-83A1-26E27B754772}"/>
            </a:ext>
          </a:extLst>
        </xdr:cNvPr>
        <xdr:cNvSpPr/>
      </xdr:nvSpPr>
      <xdr:spPr>
        <a:xfrm>
          <a:off x="8057040" y="3753410"/>
          <a:ext cx="1060900" cy="247090"/>
        </a:xfrm>
        <a:prstGeom prst="roundRect">
          <a:avLst>
            <a:gd name="adj" fmla="val 50000"/>
          </a:avLst>
        </a:prstGeom>
        <a:solidFill>
          <a:srgbClr val="39A0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1822D7BF-0BCC-4116-A2B5-36142A39E602}" type="TxLink">
            <a:rPr lang="en-US" sz="1100" b="0" i="0" u="none" strike="noStrike">
              <a:solidFill>
                <a:srgbClr val="000000"/>
              </a:solidFill>
              <a:effectLst/>
              <a:latin typeface="Calibri"/>
              <a:ea typeface="Calibri"/>
              <a:cs typeface="Calibri"/>
            </a:rPr>
            <a:pPr algn="ctr"/>
            <a:t>36</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24</xdr:row>
      <xdr:rowOff>14287</xdr:rowOff>
    </xdr:from>
    <xdr:to>
      <xdr:col>10</xdr:col>
      <xdr:colOff>1291239</xdr:colOff>
      <xdr:row>30</xdr:row>
      <xdr:rowOff>95287</xdr:rowOff>
    </xdr:to>
    <xdr:sp macro="" textlink="">
      <xdr:nvSpPr>
        <xdr:cNvPr id="8" name="Rectangle 7">
          <a:extLst>
            <a:ext uri="{FF2B5EF4-FFF2-40B4-BE49-F238E27FC236}">
              <a16:creationId xmlns:a16="http://schemas.microsoft.com/office/drawing/2014/main" id="{F106090E-3E96-4772-AFDD-ECCB1D1BB66A}"/>
            </a:ext>
          </a:extLst>
        </xdr:cNvPr>
        <xdr:cNvSpPr/>
      </xdr:nvSpPr>
      <xdr:spPr>
        <a:xfrm>
          <a:off x="7715564" y="447833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GROWTH PROSPECT</a:t>
          </a:r>
        </a:p>
      </xdr:txBody>
    </xdr:sp>
    <xdr:clientData/>
  </xdr:twoCellAnchor>
  <xdr:twoCellAnchor>
    <xdr:from>
      <xdr:col>8</xdr:col>
      <xdr:colOff>1497490</xdr:colOff>
      <xdr:row>26</xdr:row>
      <xdr:rowOff>141847</xdr:rowOff>
    </xdr:from>
    <xdr:to>
      <xdr:col>10</xdr:col>
      <xdr:colOff>840715</xdr:colOff>
      <xdr:row>28</xdr:row>
      <xdr:rowOff>14287</xdr:rowOff>
    </xdr:to>
    <xdr:sp macro="" textlink="'Evalutaion 24'!G3">
      <xdr:nvSpPr>
        <xdr:cNvPr id="9" name="Rectangle: Rounded Corners 8">
          <a:extLst>
            <a:ext uri="{FF2B5EF4-FFF2-40B4-BE49-F238E27FC236}">
              <a16:creationId xmlns:a16="http://schemas.microsoft.com/office/drawing/2014/main" id="{74DE6AC5-FBAB-47CA-AF70-994F7706E0CE}"/>
            </a:ext>
          </a:extLst>
        </xdr:cNvPr>
        <xdr:cNvSpPr/>
      </xdr:nvSpPr>
      <xdr:spPr>
        <a:xfrm>
          <a:off x="8057040" y="4974197"/>
          <a:ext cx="1060900" cy="22804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18370179-AEC8-43E0-87B5-68B61BF1FDCE}" type="TxLink">
            <a:rPr lang="en-US" sz="1100" b="0" i="0" u="none" strike="noStrike">
              <a:solidFill>
                <a:srgbClr val="000000"/>
              </a:solidFill>
              <a:effectLst/>
              <a:latin typeface="Calibri"/>
              <a:ea typeface="Calibri"/>
              <a:cs typeface="Calibri"/>
            </a:rPr>
            <a:pPr algn="ctr"/>
            <a:t>2</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30</xdr:row>
      <xdr:rowOff>133350</xdr:rowOff>
    </xdr:from>
    <xdr:to>
      <xdr:col>10</xdr:col>
      <xdr:colOff>1291239</xdr:colOff>
      <xdr:row>37</xdr:row>
      <xdr:rowOff>23850</xdr:rowOff>
    </xdr:to>
    <xdr:sp macro="" textlink="">
      <xdr:nvSpPr>
        <xdr:cNvPr id="10" name="Rectangle 9">
          <a:extLst>
            <a:ext uri="{FF2B5EF4-FFF2-40B4-BE49-F238E27FC236}">
              <a16:creationId xmlns:a16="http://schemas.microsoft.com/office/drawing/2014/main" id="{8D56F1CC-B7A6-4AEC-B358-30DDBA5119AA}"/>
            </a:ext>
          </a:extLst>
        </xdr:cNvPr>
        <xdr:cNvSpPr/>
      </xdr:nvSpPr>
      <xdr:spPr>
        <a:xfrm>
          <a:off x="7715564" y="568642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 </a:t>
          </a:r>
          <a:r>
            <a:rPr lang="tr-TR"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EMERGING TALENT</a:t>
          </a:r>
          <a:endPar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8</xdr:col>
      <xdr:colOff>1497490</xdr:colOff>
      <xdr:row>33</xdr:row>
      <xdr:rowOff>70410</xdr:rowOff>
    </xdr:from>
    <xdr:to>
      <xdr:col>10</xdr:col>
      <xdr:colOff>840715</xdr:colOff>
      <xdr:row>34</xdr:row>
      <xdr:rowOff>133350</xdr:rowOff>
    </xdr:to>
    <xdr:sp macro="" textlink="'Evalutaion 24'!G4">
      <xdr:nvSpPr>
        <xdr:cNvPr id="11" name="Rectangle: Rounded Corners 10">
          <a:extLst>
            <a:ext uri="{FF2B5EF4-FFF2-40B4-BE49-F238E27FC236}">
              <a16:creationId xmlns:a16="http://schemas.microsoft.com/office/drawing/2014/main" id="{8BC1350F-3143-4941-9544-966D8830805B}"/>
            </a:ext>
          </a:extLst>
        </xdr:cNvPr>
        <xdr:cNvSpPr/>
      </xdr:nvSpPr>
      <xdr:spPr>
        <a:xfrm>
          <a:off x="8057040" y="6163235"/>
          <a:ext cx="106090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3D89F638-8AC5-47D3-8419-EB90FA997A7C}" type="TxLink">
            <a:rPr lang="en-US" sz="1100" b="0" i="0" u="none" strike="noStrike">
              <a:solidFill>
                <a:srgbClr val="000000"/>
              </a:solidFill>
              <a:effectLst/>
              <a:latin typeface="Calibri"/>
              <a:ea typeface="Calibri"/>
              <a:cs typeface="Calibri"/>
            </a:rPr>
            <a:pPr marL="0" indent="0" algn="ctr"/>
            <a:t>0</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17</xdr:row>
      <xdr:rowOff>76200</xdr:rowOff>
    </xdr:from>
    <xdr:to>
      <xdr:col>8</xdr:col>
      <xdr:colOff>1129314</xdr:colOff>
      <xdr:row>23</xdr:row>
      <xdr:rowOff>157200</xdr:rowOff>
    </xdr:to>
    <xdr:sp macro="" textlink="">
      <xdr:nvSpPr>
        <xdr:cNvPr id="12" name="Rectangle 11">
          <a:extLst>
            <a:ext uri="{FF2B5EF4-FFF2-40B4-BE49-F238E27FC236}">
              <a16:creationId xmlns:a16="http://schemas.microsoft.com/office/drawing/2014/main" id="{63327413-1765-4659-BAC6-952ED7866D6D}"/>
            </a:ext>
          </a:extLst>
        </xdr:cNvPr>
        <xdr:cNvSpPr/>
      </xdr:nvSpPr>
      <xdr:spPr>
        <a:xfrm>
          <a:off x="5845489" y="327660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HIGH ACHIEVER</a:t>
          </a:r>
        </a:p>
      </xdr:txBody>
    </xdr:sp>
    <xdr:clientData/>
  </xdr:twoCellAnchor>
  <xdr:twoCellAnchor>
    <xdr:from>
      <xdr:col>6</xdr:col>
      <xdr:colOff>1335565</xdr:colOff>
      <xdr:row>20</xdr:row>
      <xdr:rowOff>13260</xdr:rowOff>
    </xdr:from>
    <xdr:to>
      <xdr:col>8</xdr:col>
      <xdr:colOff>678790</xdr:colOff>
      <xdr:row>21</xdr:row>
      <xdr:rowOff>76200</xdr:rowOff>
    </xdr:to>
    <xdr:sp macro="" textlink="'Evalutaion 24'!F2">
      <xdr:nvSpPr>
        <xdr:cNvPr id="13" name="Rectangle: Rounded Corners 12">
          <a:extLst>
            <a:ext uri="{FF2B5EF4-FFF2-40B4-BE49-F238E27FC236}">
              <a16:creationId xmlns:a16="http://schemas.microsoft.com/office/drawing/2014/main" id="{064FF843-D703-4F67-8932-FAE53A66CBB8}"/>
            </a:ext>
          </a:extLst>
        </xdr:cNvPr>
        <xdr:cNvSpPr/>
      </xdr:nvSpPr>
      <xdr:spPr>
        <a:xfrm>
          <a:off x="6183790" y="3753410"/>
          <a:ext cx="1054550" cy="24709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6ACF4C74-F2E0-48FB-9F68-35134AD4D1AE}" type="TxLink">
            <a:rPr lang="en-US" sz="1100" b="0" i="0" u="none" strike="noStrike">
              <a:solidFill>
                <a:srgbClr val="000000"/>
              </a:solidFill>
              <a:effectLst/>
              <a:latin typeface="Calibri"/>
              <a:ea typeface="Calibri"/>
              <a:cs typeface="Calibri"/>
            </a:rPr>
            <a:pPr algn="ctr"/>
            <a:t>1</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6</xdr:col>
      <xdr:colOff>994089</xdr:colOff>
      <xdr:row>24</xdr:row>
      <xdr:rowOff>14287</xdr:rowOff>
    </xdr:from>
    <xdr:to>
      <xdr:col>8</xdr:col>
      <xdr:colOff>1129314</xdr:colOff>
      <xdr:row>30</xdr:row>
      <xdr:rowOff>95287</xdr:rowOff>
    </xdr:to>
    <xdr:sp macro="" textlink="">
      <xdr:nvSpPr>
        <xdr:cNvPr id="14" name="Rectangle 13">
          <a:extLst>
            <a:ext uri="{FF2B5EF4-FFF2-40B4-BE49-F238E27FC236}">
              <a16:creationId xmlns:a16="http://schemas.microsoft.com/office/drawing/2014/main" id="{430F04E8-68A3-4E5E-969B-08A445FB5648}"/>
            </a:ext>
          </a:extLst>
        </xdr:cNvPr>
        <xdr:cNvSpPr/>
      </xdr:nvSpPr>
      <xdr:spPr>
        <a:xfrm>
          <a:off x="5845489" y="447833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STEADY PERFORMER</a:t>
          </a:r>
        </a:p>
      </xdr:txBody>
    </xdr:sp>
    <xdr:clientData/>
  </xdr:twoCellAnchor>
  <xdr:twoCellAnchor>
    <xdr:from>
      <xdr:col>6</xdr:col>
      <xdr:colOff>1335565</xdr:colOff>
      <xdr:row>26</xdr:row>
      <xdr:rowOff>141847</xdr:rowOff>
    </xdr:from>
    <xdr:to>
      <xdr:col>8</xdr:col>
      <xdr:colOff>678790</xdr:colOff>
      <xdr:row>28</xdr:row>
      <xdr:rowOff>14287</xdr:rowOff>
    </xdr:to>
    <xdr:sp macro="" textlink="'Evalutaion 24'!F3">
      <xdr:nvSpPr>
        <xdr:cNvPr id="15" name="Rectangle: Rounded Corners 14">
          <a:extLst>
            <a:ext uri="{FF2B5EF4-FFF2-40B4-BE49-F238E27FC236}">
              <a16:creationId xmlns:a16="http://schemas.microsoft.com/office/drawing/2014/main" id="{92164F9A-056C-44B9-8428-55F1EF58957F}"/>
            </a:ext>
          </a:extLst>
        </xdr:cNvPr>
        <xdr:cNvSpPr/>
      </xdr:nvSpPr>
      <xdr:spPr>
        <a:xfrm>
          <a:off x="6183790" y="4974197"/>
          <a:ext cx="1054550" cy="22804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549A84CC-D5F5-4369-BBB2-E01A15E40871}" type="TxLink">
            <a:rPr lang="en-US" sz="1100" b="0" i="0" u="none" strike="noStrike">
              <a:solidFill>
                <a:srgbClr val="000000"/>
              </a:solidFill>
              <a:effectLst/>
              <a:latin typeface="Calibri"/>
              <a:ea typeface="Calibri"/>
              <a:cs typeface="Calibri"/>
            </a:rPr>
            <a:pPr marL="0" indent="0" algn="ctr"/>
            <a:t>84</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30</xdr:row>
      <xdr:rowOff>133350</xdr:rowOff>
    </xdr:from>
    <xdr:to>
      <xdr:col>8</xdr:col>
      <xdr:colOff>1129314</xdr:colOff>
      <xdr:row>37</xdr:row>
      <xdr:rowOff>23850</xdr:rowOff>
    </xdr:to>
    <xdr:sp macro="" textlink="">
      <xdr:nvSpPr>
        <xdr:cNvPr id="16" name="Rectangle 15">
          <a:extLst>
            <a:ext uri="{FF2B5EF4-FFF2-40B4-BE49-F238E27FC236}">
              <a16:creationId xmlns:a16="http://schemas.microsoft.com/office/drawing/2014/main" id="{898D12E3-99F5-43F0-BC79-303B64D5A90A}"/>
            </a:ext>
          </a:extLst>
        </xdr:cNvPr>
        <xdr:cNvSpPr/>
      </xdr:nvSpPr>
      <xdr:spPr>
        <a:xfrm>
          <a:off x="5845489" y="568642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DEVELOPMENT OPPORTUNITY</a:t>
          </a:r>
        </a:p>
      </xdr:txBody>
    </xdr:sp>
    <xdr:clientData/>
  </xdr:twoCellAnchor>
  <xdr:twoCellAnchor>
    <xdr:from>
      <xdr:col>6</xdr:col>
      <xdr:colOff>1335565</xdr:colOff>
      <xdr:row>33</xdr:row>
      <xdr:rowOff>70410</xdr:rowOff>
    </xdr:from>
    <xdr:to>
      <xdr:col>8</xdr:col>
      <xdr:colOff>678790</xdr:colOff>
      <xdr:row>34</xdr:row>
      <xdr:rowOff>133350</xdr:rowOff>
    </xdr:to>
    <xdr:sp macro="" textlink="'Evalutaion 24'!F4">
      <xdr:nvSpPr>
        <xdr:cNvPr id="17" name="Rectangle: Rounded Corners 16">
          <a:extLst>
            <a:ext uri="{FF2B5EF4-FFF2-40B4-BE49-F238E27FC236}">
              <a16:creationId xmlns:a16="http://schemas.microsoft.com/office/drawing/2014/main" id="{49A90BBF-4158-41D5-9F62-206FF7E71ECA}"/>
            </a:ext>
          </a:extLst>
        </xdr:cNvPr>
        <xdr:cNvSpPr/>
      </xdr:nvSpPr>
      <xdr:spPr>
        <a:xfrm>
          <a:off x="6183790" y="6163235"/>
          <a:ext cx="1054550" cy="24709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5E262992-B04D-4FA6-80D4-76618CC66942}" type="TxLink">
            <a:rPr lang="en-US" sz="1100" b="0" i="0" u="none" strike="noStrike">
              <a:solidFill>
                <a:srgbClr val="000000"/>
              </a:solidFill>
              <a:effectLst/>
              <a:latin typeface="Calibri"/>
              <a:ea typeface="Calibri"/>
              <a:cs typeface="Calibri"/>
            </a:rPr>
            <a:pPr algn="ctr"/>
            <a:t>0</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17</xdr:row>
      <xdr:rowOff>76200</xdr:rowOff>
    </xdr:from>
    <xdr:to>
      <xdr:col>6</xdr:col>
      <xdr:colOff>967389</xdr:colOff>
      <xdr:row>23</xdr:row>
      <xdr:rowOff>157200</xdr:rowOff>
    </xdr:to>
    <xdr:sp macro="" textlink="">
      <xdr:nvSpPr>
        <xdr:cNvPr id="18" name="Rectangle 17">
          <a:extLst>
            <a:ext uri="{FF2B5EF4-FFF2-40B4-BE49-F238E27FC236}">
              <a16:creationId xmlns:a16="http://schemas.microsoft.com/office/drawing/2014/main" id="{264D40F4-013F-4223-BFE4-D43EB5060BA6}"/>
            </a:ext>
          </a:extLst>
        </xdr:cNvPr>
        <xdr:cNvSpPr/>
      </xdr:nvSpPr>
      <xdr:spPr>
        <a:xfrm>
          <a:off x="3753164" y="3276600"/>
          <a:ext cx="205927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STAR PERFORMER</a:t>
          </a:r>
        </a:p>
      </xdr:txBody>
    </xdr:sp>
    <xdr:clientData/>
  </xdr:twoCellAnchor>
  <xdr:twoCellAnchor>
    <xdr:from>
      <xdr:col>4</xdr:col>
      <xdr:colOff>1173640</xdr:colOff>
      <xdr:row>20</xdr:row>
      <xdr:rowOff>13260</xdr:rowOff>
    </xdr:from>
    <xdr:to>
      <xdr:col>6</xdr:col>
      <xdr:colOff>516865</xdr:colOff>
      <xdr:row>21</xdr:row>
      <xdr:rowOff>76200</xdr:rowOff>
    </xdr:to>
    <xdr:sp macro="" textlink="'Evalutaion 24'!E2">
      <xdr:nvSpPr>
        <xdr:cNvPr id="19" name="Rectangle: Rounded Corners 18">
          <a:extLst>
            <a:ext uri="{FF2B5EF4-FFF2-40B4-BE49-F238E27FC236}">
              <a16:creationId xmlns:a16="http://schemas.microsoft.com/office/drawing/2014/main" id="{179464C6-276E-4D4D-97F6-542BB899794A}"/>
            </a:ext>
          </a:extLst>
        </xdr:cNvPr>
        <xdr:cNvSpPr/>
      </xdr:nvSpPr>
      <xdr:spPr>
        <a:xfrm>
          <a:off x="4094640" y="3753410"/>
          <a:ext cx="127045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82E210D7-7FE0-44F1-B380-0D1675B999FE}" type="TxLink">
            <a:rPr lang="en-US" sz="1100" b="0" i="0" u="none" strike="noStrike">
              <a:solidFill>
                <a:srgbClr val="000000"/>
              </a:solidFill>
              <a:effectLst/>
              <a:latin typeface="Calibri"/>
              <a:ea typeface="Calibri"/>
              <a:cs typeface="Calibri"/>
            </a:rPr>
            <a:pPr marL="0" indent="0" algn="ctr"/>
            <a:t>0</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4</xdr:col>
      <xdr:colOff>832164</xdr:colOff>
      <xdr:row>24</xdr:row>
      <xdr:rowOff>14287</xdr:rowOff>
    </xdr:from>
    <xdr:to>
      <xdr:col>6</xdr:col>
      <xdr:colOff>967389</xdr:colOff>
      <xdr:row>30</xdr:row>
      <xdr:rowOff>95287</xdr:rowOff>
    </xdr:to>
    <xdr:sp macro="" textlink="">
      <xdr:nvSpPr>
        <xdr:cNvPr id="20" name="Rectangle 19">
          <a:extLst>
            <a:ext uri="{FF2B5EF4-FFF2-40B4-BE49-F238E27FC236}">
              <a16:creationId xmlns:a16="http://schemas.microsoft.com/office/drawing/2014/main" id="{5771C614-EEDB-46C5-A819-9798BF833DA9}"/>
            </a:ext>
          </a:extLst>
        </xdr:cNvPr>
        <xdr:cNvSpPr/>
      </xdr:nvSpPr>
      <xdr:spPr>
        <a:xfrm>
          <a:off x="3753164" y="4478337"/>
          <a:ext cx="205927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SOLID CONTRIBUTOR</a:t>
          </a:r>
        </a:p>
      </xdr:txBody>
    </xdr:sp>
    <xdr:clientData/>
  </xdr:twoCellAnchor>
  <xdr:twoCellAnchor>
    <xdr:from>
      <xdr:col>4</xdr:col>
      <xdr:colOff>1173640</xdr:colOff>
      <xdr:row>26</xdr:row>
      <xdr:rowOff>141847</xdr:rowOff>
    </xdr:from>
    <xdr:to>
      <xdr:col>6</xdr:col>
      <xdr:colOff>516865</xdr:colOff>
      <xdr:row>28</xdr:row>
      <xdr:rowOff>14287</xdr:rowOff>
    </xdr:to>
    <xdr:sp macro="" textlink="'Evalutaion 24'!E3">
      <xdr:nvSpPr>
        <xdr:cNvPr id="21" name="Rectangle: Rounded Corners 20">
          <a:extLst>
            <a:ext uri="{FF2B5EF4-FFF2-40B4-BE49-F238E27FC236}">
              <a16:creationId xmlns:a16="http://schemas.microsoft.com/office/drawing/2014/main" id="{55A3AF9E-2B7C-4B38-B57E-5D9BED3F18A3}"/>
            </a:ext>
          </a:extLst>
        </xdr:cNvPr>
        <xdr:cNvSpPr/>
      </xdr:nvSpPr>
      <xdr:spPr>
        <a:xfrm>
          <a:off x="4094640" y="4974197"/>
          <a:ext cx="1270450" cy="22804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4D2E8E5D-23FC-436A-88E6-F4AF5D19FFB0}" type="TxLink">
            <a:rPr lang="en-US" sz="1100" b="0" i="0" u="none" strike="noStrike">
              <a:solidFill>
                <a:srgbClr val="000000"/>
              </a:solidFill>
              <a:effectLst/>
              <a:latin typeface="Calibri"/>
              <a:ea typeface="Calibri"/>
              <a:cs typeface="Calibri"/>
            </a:rPr>
            <a:pPr algn="ctr"/>
            <a:t>16</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30</xdr:row>
      <xdr:rowOff>133350</xdr:rowOff>
    </xdr:from>
    <xdr:to>
      <xdr:col>6</xdr:col>
      <xdr:colOff>967389</xdr:colOff>
      <xdr:row>37</xdr:row>
      <xdr:rowOff>23850</xdr:rowOff>
    </xdr:to>
    <xdr:sp macro="" textlink="">
      <xdr:nvSpPr>
        <xdr:cNvPr id="22" name="Rectangle 21">
          <a:extLst>
            <a:ext uri="{FF2B5EF4-FFF2-40B4-BE49-F238E27FC236}">
              <a16:creationId xmlns:a16="http://schemas.microsoft.com/office/drawing/2014/main" id="{0326B9F8-F6C2-4667-98B0-DECC026836A1}"/>
            </a:ext>
          </a:extLst>
        </xdr:cNvPr>
        <xdr:cNvSpPr/>
      </xdr:nvSpPr>
      <xdr:spPr>
        <a:xfrm>
          <a:off x="3753164" y="5686425"/>
          <a:ext cx="205927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IMPROVEMENT FOCUS</a:t>
          </a:r>
        </a:p>
      </xdr:txBody>
    </xdr:sp>
    <xdr:clientData/>
  </xdr:twoCellAnchor>
  <xdr:twoCellAnchor>
    <xdr:from>
      <xdr:col>4</xdr:col>
      <xdr:colOff>1173640</xdr:colOff>
      <xdr:row>33</xdr:row>
      <xdr:rowOff>70410</xdr:rowOff>
    </xdr:from>
    <xdr:to>
      <xdr:col>6</xdr:col>
      <xdr:colOff>516865</xdr:colOff>
      <xdr:row>34</xdr:row>
      <xdr:rowOff>133350</xdr:rowOff>
    </xdr:to>
    <xdr:sp macro="" textlink="'Evalutaion 24'!E4">
      <xdr:nvSpPr>
        <xdr:cNvPr id="23" name="Rectangle: Rounded Corners 22">
          <a:extLst>
            <a:ext uri="{FF2B5EF4-FFF2-40B4-BE49-F238E27FC236}">
              <a16:creationId xmlns:a16="http://schemas.microsoft.com/office/drawing/2014/main" id="{1C4EBEC4-CE95-48B4-8EAF-66D3C50F1ECA}"/>
            </a:ext>
          </a:extLst>
        </xdr:cNvPr>
        <xdr:cNvSpPr/>
      </xdr:nvSpPr>
      <xdr:spPr>
        <a:xfrm>
          <a:off x="4094640" y="6163235"/>
          <a:ext cx="1270450" cy="247090"/>
        </a:xfrm>
        <a:prstGeom prst="roundRect">
          <a:avLst>
            <a:gd name="adj" fmla="val 50000"/>
          </a:avLst>
        </a:prstGeom>
        <a:solidFill>
          <a:srgbClr val="FB59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FA17DB11-CB5B-42E1-B449-5C8E9A67BB14}" type="TxLink">
            <a:rPr lang="en-US" sz="1100" b="0" i="0" u="none" strike="noStrike">
              <a:solidFill>
                <a:srgbClr val="000000"/>
              </a:solidFill>
              <a:effectLst/>
              <a:latin typeface="Calibri"/>
              <a:ea typeface="Calibri"/>
              <a:cs typeface="Calibri"/>
            </a:rPr>
            <a:pPr algn="ctr"/>
            <a:t>3</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833899</xdr:colOff>
      <xdr:row>37</xdr:row>
      <xdr:rowOff>76912</xdr:rowOff>
    </xdr:from>
    <xdr:to>
      <xdr:col>6</xdr:col>
      <xdr:colOff>969124</xdr:colOff>
      <xdr:row>38</xdr:row>
      <xdr:rowOff>95250</xdr:rowOff>
    </xdr:to>
    <xdr:sp macro="" textlink="">
      <xdr:nvSpPr>
        <xdr:cNvPr id="24" name="Rectangle 23">
          <a:extLst>
            <a:ext uri="{FF2B5EF4-FFF2-40B4-BE49-F238E27FC236}">
              <a16:creationId xmlns:a16="http://schemas.microsoft.com/office/drawing/2014/main" id="{EE2CAD78-A038-479D-B986-583954DEF28D}"/>
            </a:ext>
          </a:extLst>
        </xdr:cNvPr>
        <xdr:cNvSpPr/>
      </xdr:nvSpPr>
      <xdr:spPr>
        <a:xfrm>
          <a:off x="3649066" y="7231245"/>
          <a:ext cx="1966141" cy="208838"/>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6</xdr:col>
      <xdr:colOff>992649</xdr:colOff>
      <xdr:row>37</xdr:row>
      <xdr:rowOff>76912</xdr:rowOff>
    </xdr:from>
    <xdr:to>
      <xdr:col>8</xdr:col>
      <xdr:colOff>1127874</xdr:colOff>
      <xdr:row>38</xdr:row>
      <xdr:rowOff>95250</xdr:rowOff>
    </xdr:to>
    <xdr:sp macro="" textlink="">
      <xdr:nvSpPr>
        <xdr:cNvPr id="25" name="Rectangle 24">
          <a:extLst>
            <a:ext uri="{FF2B5EF4-FFF2-40B4-BE49-F238E27FC236}">
              <a16:creationId xmlns:a16="http://schemas.microsoft.com/office/drawing/2014/main" id="{DFAF404A-35DA-4720-AD54-512578CB50B2}"/>
            </a:ext>
          </a:extLst>
        </xdr:cNvPr>
        <xdr:cNvSpPr/>
      </xdr:nvSpPr>
      <xdr:spPr>
        <a:xfrm>
          <a:off x="5840874" y="6896812"/>
          <a:ext cx="1852900"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marL="0" indent="0"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8</xdr:col>
      <xdr:colOff>1154574</xdr:colOff>
      <xdr:row>37</xdr:row>
      <xdr:rowOff>76912</xdr:rowOff>
    </xdr:from>
    <xdr:to>
      <xdr:col>10</xdr:col>
      <xdr:colOff>1289799</xdr:colOff>
      <xdr:row>38</xdr:row>
      <xdr:rowOff>95250</xdr:rowOff>
    </xdr:to>
    <xdr:sp macro="" textlink="">
      <xdr:nvSpPr>
        <xdr:cNvPr id="26" name="Rectangle 25">
          <a:extLst>
            <a:ext uri="{FF2B5EF4-FFF2-40B4-BE49-F238E27FC236}">
              <a16:creationId xmlns:a16="http://schemas.microsoft.com/office/drawing/2014/main" id="{5309D8D0-4824-460B-86E6-A7417AF69660}"/>
            </a:ext>
          </a:extLst>
        </xdr:cNvPr>
        <xdr:cNvSpPr/>
      </xdr:nvSpPr>
      <xdr:spPr>
        <a:xfrm>
          <a:off x="7714124" y="6896812"/>
          <a:ext cx="1849725"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4</xdr:col>
      <xdr:colOff>568764</xdr:colOff>
      <xdr:row>30</xdr:row>
      <xdr:rowOff>124905</xdr:rowOff>
    </xdr:from>
    <xdr:to>
      <xdr:col>4</xdr:col>
      <xdr:colOff>777564</xdr:colOff>
      <xdr:row>36</xdr:row>
      <xdr:rowOff>155505</xdr:rowOff>
    </xdr:to>
    <xdr:sp macro="" textlink="">
      <xdr:nvSpPr>
        <xdr:cNvPr id="27" name="Rectangle 26">
          <a:extLst>
            <a:ext uri="{FF2B5EF4-FFF2-40B4-BE49-F238E27FC236}">
              <a16:creationId xmlns:a16="http://schemas.microsoft.com/office/drawing/2014/main" id="{2297A208-17CC-4326-A8A1-882BB5560EBF}"/>
            </a:ext>
          </a:extLst>
        </xdr:cNvPr>
        <xdr:cNvSpPr/>
      </xdr:nvSpPr>
      <xdr:spPr>
        <a:xfrm rot="16200000">
          <a:off x="3035939" y="6131805"/>
          <a:ext cx="111962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4</xdr:col>
      <xdr:colOff>568764</xdr:colOff>
      <xdr:row>23</xdr:row>
      <xdr:rowOff>186817</xdr:rowOff>
    </xdr:from>
    <xdr:to>
      <xdr:col>4</xdr:col>
      <xdr:colOff>777564</xdr:colOff>
      <xdr:row>30</xdr:row>
      <xdr:rowOff>26917</xdr:rowOff>
    </xdr:to>
    <xdr:sp macro="" textlink="">
      <xdr:nvSpPr>
        <xdr:cNvPr id="28" name="Rectangle 27">
          <a:extLst>
            <a:ext uri="{FF2B5EF4-FFF2-40B4-BE49-F238E27FC236}">
              <a16:creationId xmlns:a16="http://schemas.microsoft.com/office/drawing/2014/main" id="{9881E909-DD3E-4841-A03E-B523B0789230}"/>
            </a:ext>
          </a:extLst>
        </xdr:cNvPr>
        <xdr:cNvSpPr/>
      </xdr:nvSpPr>
      <xdr:spPr>
        <a:xfrm rot="16200000">
          <a:off x="3039114" y="4923717"/>
          <a:ext cx="111327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4</xdr:col>
      <xdr:colOff>565465</xdr:colOff>
      <xdr:row>17</xdr:row>
      <xdr:rowOff>93224</xdr:rowOff>
    </xdr:from>
    <xdr:to>
      <xdr:col>4</xdr:col>
      <xdr:colOff>774265</xdr:colOff>
      <xdr:row>23</xdr:row>
      <xdr:rowOff>123824</xdr:rowOff>
    </xdr:to>
    <xdr:sp macro="" textlink="">
      <xdr:nvSpPr>
        <xdr:cNvPr id="29" name="Rectangle 28">
          <a:extLst>
            <a:ext uri="{FF2B5EF4-FFF2-40B4-BE49-F238E27FC236}">
              <a16:creationId xmlns:a16="http://schemas.microsoft.com/office/drawing/2014/main" id="{24EE7A73-F5DC-4191-8EF4-9BA0ECBDAD4D}"/>
            </a:ext>
          </a:extLst>
        </xdr:cNvPr>
        <xdr:cNvSpPr/>
      </xdr:nvSpPr>
      <xdr:spPr>
        <a:xfrm rot="16200000">
          <a:off x="3031052" y="3749037"/>
          <a:ext cx="1119625" cy="208800"/>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10</xdr:col>
      <xdr:colOff>1066800</xdr:colOff>
      <xdr:row>17</xdr:row>
      <xdr:rowOff>104776</xdr:rowOff>
    </xdr:from>
    <xdr:to>
      <xdr:col>10</xdr:col>
      <xdr:colOff>1228725</xdr:colOff>
      <xdr:row>18</xdr:row>
      <xdr:rowOff>66676</xdr:rowOff>
    </xdr:to>
    <xdr:sp macro="" textlink="">
      <xdr:nvSpPr>
        <xdr:cNvPr id="30" name="Star: 5 Points 29">
          <a:extLst>
            <a:ext uri="{FF2B5EF4-FFF2-40B4-BE49-F238E27FC236}">
              <a16:creationId xmlns:a16="http://schemas.microsoft.com/office/drawing/2014/main" id="{BB6AEAE9-9974-4B7F-A338-D0318A1534DE}"/>
            </a:ext>
          </a:extLst>
        </xdr:cNvPr>
        <xdr:cNvSpPr/>
      </xdr:nvSpPr>
      <xdr:spPr>
        <a:xfrm>
          <a:off x="9344025" y="3302001"/>
          <a:ext cx="158750" cy="1428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523874</xdr:colOff>
      <xdr:row>32</xdr:row>
      <xdr:rowOff>85725</xdr:rowOff>
    </xdr:from>
    <xdr:to>
      <xdr:col>6</xdr:col>
      <xdr:colOff>971549</xdr:colOff>
      <xdr:row>33</xdr:row>
      <xdr:rowOff>171450</xdr:rowOff>
    </xdr:to>
    <xdr:sp macro="" textlink="">
      <xdr:nvSpPr>
        <xdr:cNvPr id="31" name="TextBox 30">
          <a:extLst>
            <a:ext uri="{FF2B5EF4-FFF2-40B4-BE49-F238E27FC236}">
              <a16:creationId xmlns:a16="http://schemas.microsoft.com/office/drawing/2014/main" id="{62BFC297-5A49-41FD-802C-7A3488D4BE51}"/>
            </a:ext>
          </a:extLst>
        </xdr:cNvPr>
        <xdr:cNvSpPr txBox="1"/>
      </xdr:nvSpPr>
      <xdr:spPr>
        <a:xfrm>
          <a:off x="5375274" y="5997575"/>
          <a:ext cx="444500" cy="26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a:t>
          </a:r>
        </a:p>
      </xdr:txBody>
    </xdr:sp>
    <xdr:clientData/>
  </xdr:twoCellAnchor>
  <xdr:twoCellAnchor>
    <xdr:from>
      <xdr:col>8</xdr:col>
      <xdr:colOff>708339</xdr:colOff>
      <xdr:row>32</xdr:row>
      <xdr:rowOff>142875</xdr:rowOff>
    </xdr:from>
    <xdr:to>
      <xdr:col>8</xdr:col>
      <xdr:colOff>1156014</xdr:colOff>
      <xdr:row>34</xdr:row>
      <xdr:rowOff>38100</xdr:rowOff>
    </xdr:to>
    <xdr:sp macro="" textlink="">
      <xdr:nvSpPr>
        <xdr:cNvPr id="32" name="TextBox 31">
          <a:extLst>
            <a:ext uri="{FF2B5EF4-FFF2-40B4-BE49-F238E27FC236}">
              <a16:creationId xmlns:a16="http://schemas.microsoft.com/office/drawing/2014/main" id="{0694538B-7786-4795-B362-7800676DF93C}"/>
            </a:ext>
          </a:extLst>
        </xdr:cNvPr>
        <xdr:cNvSpPr txBox="1"/>
      </xdr:nvSpPr>
      <xdr:spPr>
        <a:xfrm>
          <a:off x="7274239" y="605472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B</a:t>
          </a:r>
        </a:p>
      </xdr:txBody>
    </xdr:sp>
    <xdr:clientData/>
  </xdr:twoCellAnchor>
  <xdr:twoCellAnchor>
    <xdr:from>
      <xdr:col>10</xdr:col>
      <xdr:colOff>860739</xdr:colOff>
      <xdr:row>32</xdr:row>
      <xdr:rowOff>142875</xdr:rowOff>
    </xdr:from>
    <xdr:to>
      <xdr:col>10</xdr:col>
      <xdr:colOff>1308414</xdr:colOff>
      <xdr:row>34</xdr:row>
      <xdr:rowOff>38100</xdr:rowOff>
    </xdr:to>
    <xdr:sp macro="" textlink="">
      <xdr:nvSpPr>
        <xdr:cNvPr id="33" name="TextBox 32">
          <a:extLst>
            <a:ext uri="{FF2B5EF4-FFF2-40B4-BE49-F238E27FC236}">
              <a16:creationId xmlns:a16="http://schemas.microsoft.com/office/drawing/2014/main" id="{6476D3F3-B670-4273-8890-D222321317B9}"/>
            </a:ext>
          </a:extLst>
        </xdr:cNvPr>
        <xdr:cNvSpPr txBox="1"/>
      </xdr:nvSpPr>
      <xdr:spPr>
        <a:xfrm>
          <a:off x="9141139" y="605472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C</a:t>
          </a:r>
        </a:p>
      </xdr:txBody>
    </xdr:sp>
    <xdr:clientData/>
  </xdr:twoCellAnchor>
  <xdr:twoCellAnchor>
    <xdr:from>
      <xdr:col>6</xdr:col>
      <xdr:colOff>527364</xdr:colOff>
      <xdr:row>26</xdr:row>
      <xdr:rowOff>61912</xdr:rowOff>
    </xdr:from>
    <xdr:to>
      <xdr:col>6</xdr:col>
      <xdr:colOff>975039</xdr:colOff>
      <xdr:row>27</xdr:row>
      <xdr:rowOff>147637</xdr:rowOff>
    </xdr:to>
    <xdr:sp macro="" textlink="">
      <xdr:nvSpPr>
        <xdr:cNvPr id="34" name="TextBox 33">
          <a:extLst>
            <a:ext uri="{FF2B5EF4-FFF2-40B4-BE49-F238E27FC236}">
              <a16:creationId xmlns:a16="http://schemas.microsoft.com/office/drawing/2014/main" id="{C292E1F8-E697-465F-A483-1447FE6BB1E8}"/>
            </a:ext>
          </a:extLst>
        </xdr:cNvPr>
        <xdr:cNvSpPr txBox="1"/>
      </xdr:nvSpPr>
      <xdr:spPr>
        <a:xfrm>
          <a:off x="5372414" y="489426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a:t>
          </a:r>
        </a:p>
      </xdr:txBody>
    </xdr:sp>
    <xdr:clientData/>
  </xdr:twoCellAnchor>
  <xdr:twoCellAnchor>
    <xdr:from>
      <xdr:col>8</xdr:col>
      <xdr:colOff>708339</xdr:colOff>
      <xdr:row>26</xdr:row>
      <xdr:rowOff>71437</xdr:rowOff>
    </xdr:from>
    <xdr:to>
      <xdr:col>8</xdr:col>
      <xdr:colOff>1156014</xdr:colOff>
      <xdr:row>27</xdr:row>
      <xdr:rowOff>157162</xdr:rowOff>
    </xdr:to>
    <xdr:sp macro="" textlink="">
      <xdr:nvSpPr>
        <xdr:cNvPr id="35" name="TextBox 34">
          <a:extLst>
            <a:ext uri="{FF2B5EF4-FFF2-40B4-BE49-F238E27FC236}">
              <a16:creationId xmlns:a16="http://schemas.microsoft.com/office/drawing/2014/main" id="{A95BDC9A-393B-4F2D-85FE-07F6E9906A35}"/>
            </a:ext>
          </a:extLst>
        </xdr:cNvPr>
        <xdr:cNvSpPr txBox="1"/>
      </xdr:nvSpPr>
      <xdr:spPr>
        <a:xfrm>
          <a:off x="7274239" y="4897437"/>
          <a:ext cx="441325"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B</a:t>
          </a:r>
        </a:p>
      </xdr:txBody>
    </xdr:sp>
    <xdr:clientData/>
  </xdr:twoCellAnchor>
  <xdr:twoCellAnchor>
    <xdr:from>
      <xdr:col>10</xdr:col>
      <xdr:colOff>870264</xdr:colOff>
      <xdr:row>26</xdr:row>
      <xdr:rowOff>61912</xdr:rowOff>
    </xdr:from>
    <xdr:to>
      <xdr:col>10</xdr:col>
      <xdr:colOff>1317939</xdr:colOff>
      <xdr:row>27</xdr:row>
      <xdr:rowOff>147637</xdr:rowOff>
    </xdr:to>
    <xdr:sp macro="" textlink="">
      <xdr:nvSpPr>
        <xdr:cNvPr id="36" name="TextBox 35">
          <a:extLst>
            <a:ext uri="{FF2B5EF4-FFF2-40B4-BE49-F238E27FC236}">
              <a16:creationId xmlns:a16="http://schemas.microsoft.com/office/drawing/2014/main" id="{EB9FDC6C-FE4A-492A-A12D-99FA623430D7}"/>
            </a:ext>
          </a:extLst>
        </xdr:cNvPr>
        <xdr:cNvSpPr txBox="1"/>
      </xdr:nvSpPr>
      <xdr:spPr>
        <a:xfrm>
          <a:off x="9144314" y="489426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C</a:t>
          </a:r>
        </a:p>
      </xdr:txBody>
    </xdr:sp>
    <xdr:clientData/>
  </xdr:twoCellAnchor>
  <xdr:twoCellAnchor>
    <xdr:from>
      <xdr:col>6</xdr:col>
      <xdr:colOff>536889</xdr:colOff>
      <xdr:row>19</xdr:row>
      <xdr:rowOff>95250</xdr:rowOff>
    </xdr:from>
    <xdr:to>
      <xdr:col>6</xdr:col>
      <xdr:colOff>984564</xdr:colOff>
      <xdr:row>20</xdr:row>
      <xdr:rowOff>180975</xdr:rowOff>
    </xdr:to>
    <xdr:sp macro="" textlink="">
      <xdr:nvSpPr>
        <xdr:cNvPr id="37" name="TextBox 36">
          <a:extLst>
            <a:ext uri="{FF2B5EF4-FFF2-40B4-BE49-F238E27FC236}">
              <a16:creationId xmlns:a16="http://schemas.microsoft.com/office/drawing/2014/main" id="{19DA7F81-B37F-464F-A662-22E5C439D1E9}"/>
            </a:ext>
          </a:extLst>
        </xdr:cNvPr>
        <xdr:cNvSpPr txBox="1"/>
      </xdr:nvSpPr>
      <xdr:spPr>
        <a:xfrm>
          <a:off x="5388289" y="3657600"/>
          <a:ext cx="4413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A</a:t>
          </a:r>
        </a:p>
      </xdr:txBody>
    </xdr:sp>
    <xdr:clientData/>
  </xdr:twoCellAnchor>
  <xdr:twoCellAnchor>
    <xdr:from>
      <xdr:col>8</xdr:col>
      <xdr:colOff>708339</xdr:colOff>
      <xdr:row>19</xdr:row>
      <xdr:rowOff>104775</xdr:rowOff>
    </xdr:from>
    <xdr:to>
      <xdr:col>8</xdr:col>
      <xdr:colOff>1156014</xdr:colOff>
      <xdr:row>21</xdr:row>
      <xdr:rowOff>0</xdr:rowOff>
    </xdr:to>
    <xdr:sp macro="" textlink="">
      <xdr:nvSpPr>
        <xdr:cNvPr id="38" name="TextBox 37">
          <a:extLst>
            <a:ext uri="{FF2B5EF4-FFF2-40B4-BE49-F238E27FC236}">
              <a16:creationId xmlns:a16="http://schemas.microsoft.com/office/drawing/2014/main" id="{C355F5BE-EB9A-40A1-A8ED-F5BA9E644D39}"/>
            </a:ext>
          </a:extLst>
        </xdr:cNvPr>
        <xdr:cNvSpPr txBox="1"/>
      </xdr:nvSpPr>
      <xdr:spPr>
        <a:xfrm>
          <a:off x="7274239" y="3663950"/>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B</a:t>
          </a:r>
        </a:p>
      </xdr:txBody>
    </xdr:sp>
    <xdr:clientData/>
  </xdr:twoCellAnchor>
  <xdr:twoCellAnchor>
    <xdr:from>
      <xdr:col>10</xdr:col>
      <xdr:colOff>851214</xdr:colOff>
      <xdr:row>19</xdr:row>
      <xdr:rowOff>57150</xdr:rowOff>
    </xdr:from>
    <xdr:to>
      <xdr:col>10</xdr:col>
      <xdr:colOff>1298889</xdr:colOff>
      <xdr:row>20</xdr:row>
      <xdr:rowOff>142875</xdr:rowOff>
    </xdr:to>
    <xdr:sp macro="" textlink="">
      <xdr:nvSpPr>
        <xdr:cNvPr id="39" name="TextBox 38">
          <a:extLst>
            <a:ext uri="{FF2B5EF4-FFF2-40B4-BE49-F238E27FC236}">
              <a16:creationId xmlns:a16="http://schemas.microsoft.com/office/drawing/2014/main" id="{61BB3B59-BD06-4E57-ABEF-0B76094A8E69}"/>
            </a:ext>
          </a:extLst>
        </xdr:cNvPr>
        <xdr:cNvSpPr txBox="1"/>
      </xdr:nvSpPr>
      <xdr:spPr>
        <a:xfrm>
          <a:off x="9125264" y="3619500"/>
          <a:ext cx="4540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C</a:t>
          </a:r>
        </a:p>
      </xdr:txBody>
    </xdr:sp>
    <xdr:clientData/>
  </xdr:twoCellAnchor>
  <xdr:twoCellAnchor editAs="absolute">
    <xdr:from>
      <xdr:col>12</xdr:col>
      <xdr:colOff>10583</xdr:colOff>
      <xdr:row>19</xdr:row>
      <xdr:rowOff>76201</xdr:rowOff>
    </xdr:from>
    <xdr:to>
      <xdr:col>13</xdr:col>
      <xdr:colOff>3439582</xdr:colOff>
      <xdr:row>22</xdr:row>
      <xdr:rowOff>171451</xdr:rowOff>
    </xdr:to>
    <mc:AlternateContent xmlns:mc="http://schemas.openxmlformats.org/markup-compatibility/2006" xmlns:sle15="http://schemas.microsoft.com/office/drawing/2012/slicer">
      <mc:Choice Requires="sle15">
        <xdr:graphicFrame macro="">
          <xdr:nvGraphicFramePr>
            <xdr:cNvPr id="42" name="Location 1">
              <a:extLst>
                <a:ext uri="{FF2B5EF4-FFF2-40B4-BE49-F238E27FC236}">
                  <a16:creationId xmlns:a16="http://schemas.microsoft.com/office/drawing/2014/main" id="{97065DD0-C82F-450E-B8C2-DA4C49E13D1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546166" y="3801534"/>
              <a:ext cx="4677833" cy="666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69850</xdr:colOff>
      <xdr:row>23</xdr:row>
      <xdr:rowOff>112184</xdr:rowOff>
    </xdr:from>
    <xdr:to>
      <xdr:col>13</xdr:col>
      <xdr:colOff>3488266</xdr:colOff>
      <xdr:row>31</xdr:row>
      <xdr:rowOff>83608</xdr:rowOff>
    </xdr:to>
    <mc:AlternateContent xmlns:mc="http://schemas.openxmlformats.org/markup-compatibility/2006" xmlns:sle15="http://schemas.microsoft.com/office/drawing/2012/slicer">
      <mc:Choice Requires="sle15">
        <xdr:graphicFrame macro="">
          <xdr:nvGraphicFramePr>
            <xdr:cNvPr id="44" name="Department">
              <a:extLst>
                <a:ext uri="{FF2B5EF4-FFF2-40B4-BE49-F238E27FC236}">
                  <a16:creationId xmlns:a16="http://schemas.microsoft.com/office/drawing/2014/main" id="{B931E719-ACF2-4A95-B47A-FE135CF6943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489017" y="4599517"/>
              <a:ext cx="4783666" cy="14954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381314</xdr:colOff>
      <xdr:row>13</xdr:row>
      <xdr:rowOff>49741</xdr:rowOff>
    </xdr:from>
    <xdr:to>
      <xdr:col>4</xdr:col>
      <xdr:colOff>529548</xdr:colOff>
      <xdr:row>32</xdr:row>
      <xdr:rowOff>174241</xdr:rowOff>
    </xdr:to>
    <xdr:sp macro="" textlink="">
      <xdr:nvSpPr>
        <xdr:cNvPr id="116" name="Arrow: Down 115">
          <a:extLst>
            <a:ext uri="{FF2B5EF4-FFF2-40B4-BE49-F238E27FC236}">
              <a16:creationId xmlns:a16="http://schemas.microsoft.com/office/drawing/2014/main" id="{88DCE857-38CE-408A-9D4C-FF5D9BDB9C03}"/>
            </a:ext>
          </a:extLst>
        </xdr:cNvPr>
        <xdr:cNvSpPr/>
      </xdr:nvSpPr>
      <xdr:spPr>
        <a:xfrm flipV="1">
          <a:off x="2610164" y="1018116"/>
          <a:ext cx="145059" cy="3566200"/>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algn="l"/>
          <a:endParaRPr lang="en-US" sz="1100">
            <a:latin typeface="Corbel" panose="020B0503020204020204" pitchFamily="34" charset="0"/>
          </a:endParaRPr>
        </a:p>
      </xdr:txBody>
    </xdr:sp>
    <xdr:clientData/>
  </xdr:twoCellAnchor>
  <xdr:twoCellAnchor>
    <xdr:from>
      <xdr:col>4</xdr:col>
      <xdr:colOff>826541</xdr:colOff>
      <xdr:row>34</xdr:row>
      <xdr:rowOff>125348</xdr:rowOff>
    </xdr:from>
    <xdr:to>
      <xdr:col>10</xdr:col>
      <xdr:colOff>1232216</xdr:colOff>
      <xdr:row>35</xdr:row>
      <xdr:rowOff>78848</xdr:rowOff>
    </xdr:to>
    <xdr:sp macro="" textlink="">
      <xdr:nvSpPr>
        <xdr:cNvPr id="117" name="Arrow: Down 116">
          <a:extLst>
            <a:ext uri="{FF2B5EF4-FFF2-40B4-BE49-F238E27FC236}">
              <a16:creationId xmlns:a16="http://schemas.microsoft.com/office/drawing/2014/main" id="{8CF6DD0E-B064-423D-BFBB-8C7A5A336491}"/>
            </a:ext>
          </a:extLst>
        </xdr:cNvPr>
        <xdr:cNvSpPr/>
      </xdr:nvSpPr>
      <xdr:spPr>
        <a:xfrm rot="5400000" flipV="1">
          <a:off x="5761154" y="2191610"/>
          <a:ext cx="137650" cy="5542825"/>
        </a:xfrm>
        <a:prstGeom prst="downArrow">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overflow" horzOverflow="overflow" wrap="square" lIns="25400" tIns="0" rIns="25400" bIns="0" rtlCol="0" anchor="t"/>
        <a:lstStyle/>
        <a:p>
          <a:pPr algn="l"/>
          <a:endParaRPr lang="en-US" sz="1100">
            <a:latin typeface="Corbel" panose="020B0503020204020204" pitchFamily="34" charset="0"/>
          </a:endParaRPr>
        </a:p>
      </xdr:txBody>
    </xdr:sp>
    <xdr:clientData/>
  </xdr:twoCellAnchor>
  <xdr:twoCellAnchor>
    <xdr:from>
      <xdr:col>6</xdr:col>
      <xdr:colOff>905665</xdr:colOff>
      <xdr:row>35</xdr:row>
      <xdr:rowOff>114300</xdr:rowOff>
    </xdr:from>
    <xdr:to>
      <xdr:col>8</xdr:col>
      <xdr:colOff>1076890</xdr:colOff>
      <xdr:row>36</xdr:row>
      <xdr:rowOff>96027</xdr:rowOff>
    </xdr:to>
    <xdr:sp macro="" textlink="">
      <xdr:nvSpPr>
        <xdr:cNvPr id="118" name="TextBox 117">
          <a:extLst>
            <a:ext uri="{FF2B5EF4-FFF2-40B4-BE49-F238E27FC236}">
              <a16:creationId xmlns:a16="http://schemas.microsoft.com/office/drawing/2014/main" id="{CCE31923-0A67-4D34-8089-4792AD76859E}"/>
            </a:ext>
          </a:extLst>
        </xdr:cNvPr>
        <xdr:cNvSpPr txBox="1"/>
      </xdr:nvSpPr>
      <xdr:spPr>
        <a:xfrm>
          <a:off x="4845840" y="5067300"/>
          <a:ext cx="1885725" cy="162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PERFORMANCE</a:t>
          </a:r>
          <a:endParaRPr lang="en-US" sz="1100" b="0">
            <a:latin typeface="Corbel" panose="020B0503020204020204" pitchFamily="34" charset="0"/>
            <a:cs typeface="Posterama" panose="020B0504020200020000" pitchFamily="34" charset="0"/>
          </a:endParaRPr>
        </a:p>
      </xdr:txBody>
    </xdr:sp>
    <xdr:clientData/>
  </xdr:twoCellAnchor>
  <xdr:twoCellAnchor>
    <xdr:from>
      <xdr:col>4</xdr:col>
      <xdr:colOff>213712</xdr:colOff>
      <xdr:row>18</xdr:row>
      <xdr:rowOff>40669</xdr:rowOff>
    </xdr:from>
    <xdr:to>
      <xdr:col>4</xdr:col>
      <xdr:colOff>381705</xdr:colOff>
      <xdr:row>27</xdr:row>
      <xdr:rowOff>126169</xdr:rowOff>
    </xdr:to>
    <xdr:sp macro="" textlink="">
      <xdr:nvSpPr>
        <xdr:cNvPr id="119" name="TextBox 118">
          <a:extLst>
            <a:ext uri="{FF2B5EF4-FFF2-40B4-BE49-F238E27FC236}">
              <a16:creationId xmlns:a16="http://schemas.microsoft.com/office/drawing/2014/main" id="{12E7F71F-0B4C-4C16-BA4C-6054F071FE3B}"/>
            </a:ext>
          </a:extLst>
        </xdr:cNvPr>
        <xdr:cNvSpPr txBox="1"/>
      </xdr:nvSpPr>
      <xdr:spPr>
        <a:xfrm rot="16200000">
          <a:off x="1672596" y="2690235"/>
          <a:ext cx="1711100" cy="16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25400" tIns="0" rIns="25400" bIns="0" rtlCol="0" anchor="ctr">
          <a:noAutofit/>
        </a:bodyPr>
        <a:lstStyle/>
        <a:p>
          <a:pPr algn="ctr"/>
          <a:r>
            <a:rPr lang="tr-TR" sz="1100" b="0">
              <a:latin typeface="Corbel" panose="020B0503020204020204" pitchFamily="34" charset="0"/>
              <a:cs typeface="Posterama" panose="020B0504020200020000" pitchFamily="34" charset="0"/>
            </a:rPr>
            <a:t>POTENTIAL</a:t>
          </a:r>
          <a:endParaRPr lang="en-US" sz="1100" b="0">
            <a:latin typeface="Corbel" panose="020B0503020204020204" pitchFamily="34" charset="0"/>
            <a:cs typeface="Posterama" panose="020B0504020200020000" pitchFamily="34" charset="0"/>
          </a:endParaRPr>
        </a:p>
      </xdr:txBody>
    </xdr:sp>
    <xdr:clientData/>
  </xdr:twoCellAnchor>
  <xdr:twoCellAnchor>
    <xdr:from>
      <xdr:col>8</xdr:col>
      <xdr:colOff>1156014</xdr:colOff>
      <xdr:row>13</xdr:row>
      <xdr:rowOff>76200</xdr:rowOff>
    </xdr:from>
    <xdr:to>
      <xdr:col>10</xdr:col>
      <xdr:colOff>1291239</xdr:colOff>
      <xdr:row>19</xdr:row>
      <xdr:rowOff>157200</xdr:rowOff>
    </xdr:to>
    <xdr:sp macro="" textlink="">
      <xdr:nvSpPr>
        <xdr:cNvPr id="120" name="Rectangle 119">
          <a:extLst>
            <a:ext uri="{FF2B5EF4-FFF2-40B4-BE49-F238E27FC236}">
              <a16:creationId xmlns:a16="http://schemas.microsoft.com/office/drawing/2014/main" id="{CB388217-68C4-4684-9288-0724CEB023EF}"/>
            </a:ext>
          </a:extLst>
        </xdr:cNvPr>
        <xdr:cNvSpPr/>
      </xdr:nvSpPr>
      <xdr:spPr>
        <a:xfrm>
          <a:off x="6810689" y="104775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POTENTIAL LEADER</a:t>
          </a:r>
        </a:p>
      </xdr:txBody>
    </xdr:sp>
    <xdr:clientData/>
  </xdr:twoCellAnchor>
  <xdr:twoCellAnchor>
    <xdr:from>
      <xdr:col>8</xdr:col>
      <xdr:colOff>1497490</xdr:colOff>
      <xdr:row>16</xdr:row>
      <xdr:rowOff>13260</xdr:rowOff>
    </xdr:from>
    <xdr:to>
      <xdr:col>10</xdr:col>
      <xdr:colOff>840715</xdr:colOff>
      <xdr:row>17</xdr:row>
      <xdr:rowOff>76200</xdr:rowOff>
    </xdr:to>
    <xdr:sp macro="" textlink="'Evalutaion 25'!H3">
      <xdr:nvSpPr>
        <xdr:cNvPr id="121" name="Rectangle: Rounded Corners 120">
          <a:extLst>
            <a:ext uri="{FF2B5EF4-FFF2-40B4-BE49-F238E27FC236}">
              <a16:creationId xmlns:a16="http://schemas.microsoft.com/office/drawing/2014/main" id="{CD3DDC86-7950-47EA-A4F4-9F02F4AB5C64}"/>
            </a:ext>
          </a:extLst>
        </xdr:cNvPr>
        <xdr:cNvSpPr/>
      </xdr:nvSpPr>
      <xdr:spPr>
        <a:xfrm>
          <a:off x="7152165" y="1524560"/>
          <a:ext cx="1060900" cy="247090"/>
        </a:xfrm>
        <a:prstGeom prst="roundRect">
          <a:avLst>
            <a:gd name="adj" fmla="val 50000"/>
          </a:avLst>
        </a:prstGeom>
        <a:solidFill>
          <a:srgbClr val="39A0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5B3595CA-4B86-4913-870C-FA267781A465}" type="TxLink">
            <a:rPr lang="en-US" sz="1100" b="0" i="0" u="none" strike="noStrike">
              <a:solidFill>
                <a:srgbClr val="000000"/>
              </a:solidFill>
              <a:effectLst/>
              <a:latin typeface="Calibri"/>
              <a:ea typeface="Calibri"/>
              <a:cs typeface="Calibri"/>
            </a:rPr>
            <a:pPr algn="ctr"/>
            <a:t>19</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20</xdr:row>
      <xdr:rowOff>14287</xdr:rowOff>
    </xdr:from>
    <xdr:to>
      <xdr:col>10</xdr:col>
      <xdr:colOff>1291239</xdr:colOff>
      <xdr:row>26</xdr:row>
      <xdr:rowOff>95287</xdr:rowOff>
    </xdr:to>
    <xdr:sp macro="" textlink="">
      <xdr:nvSpPr>
        <xdr:cNvPr id="122" name="Rectangle 121">
          <a:extLst>
            <a:ext uri="{FF2B5EF4-FFF2-40B4-BE49-F238E27FC236}">
              <a16:creationId xmlns:a16="http://schemas.microsoft.com/office/drawing/2014/main" id="{17F64239-F166-44DD-92A3-AEFC72C1E378}"/>
            </a:ext>
          </a:extLst>
        </xdr:cNvPr>
        <xdr:cNvSpPr/>
      </xdr:nvSpPr>
      <xdr:spPr>
        <a:xfrm>
          <a:off x="6810689" y="224948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GROWTH PROSPECT</a:t>
          </a:r>
        </a:p>
      </xdr:txBody>
    </xdr:sp>
    <xdr:clientData/>
  </xdr:twoCellAnchor>
  <xdr:twoCellAnchor>
    <xdr:from>
      <xdr:col>8</xdr:col>
      <xdr:colOff>1497490</xdr:colOff>
      <xdr:row>22</xdr:row>
      <xdr:rowOff>141847</xdr:rowOff>
    </xdr:from>
    <xdr:to>
      <xdr:col>10</xdr:col>
      <xdr:colOff>840715</xdr:colOff>
      <xdr:row>24</xdr:row>
      <xdr:rowOff>14287</xdr:rowOff>
    </xdr:to>
    <xdr:sp macro="" textlink="'Evalutaion 25'!H4">
      <xdr:nvSpPr>
        <xdr:cNvPr id="123" name="Rectangle: Rounded Corners 122">
          <a:extLst>
            <a:ext uri="{FF2B5EF4-FFF2-40B4-BE49-F238E27FC236}">
              <a16:creationId xmlns:a16="http://schemas.microsoft.com/office/drawing/2014/main" id="{1E4F232B-22F8-4E43-99CD-9518F846524C}"/>
            </a:ext>
          </a:extLst>
        </xdr:cNvPr>
        <xdr:cNvSpPr/>
      </xdr:nvSpPr>
      <xdr:spPr>
        <a:xfrm>
          <a:off x="7152165" y="2745347"/>
          <a:ext cx="1060900" cy="22804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4BA0E657-6290-4F4F-B746-F249BC412722}" type="TxLink">
            <a:rPr lang="en-US" sz="1100" b="0" i="0" u="none" strike="noStrike">
              <a:solidFill>
                <a:srgbClr val="000000"/>
              </a:solidFill>
              <a:effectLst/>
              <a:latin typeface="Calibri"/>
              <a:ea typeface="Calibri"/>
              <a:cs typeface="Calibri"/>
            </a:rPr>
            <a:pPr algn="ctr"/>
            <a:t>1</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8</xdr:col>
      <xdr:colOff>1156014</xdr:colOff>
      <xdr:row>26</xdr:row>
      <xdr:rowOff>133350</xdr:rowOff>
    </xdr:from>
    <xdr:to>
      <xdr:col>10</xdr:col>
      <xdr:colOff>1291239</xdr:colOff>
      <xdr:row>33</xdr:row>
      <xdr:rowOff>23850</xdr:rowOff>
    </xdr:to>
    <xdr:sp macro="" textlink="">
      <xdr:nvSpPr>
        <xdr:cNvPr id="124" name="Rectangle 123">
          <a:extLst>
            <a:ext uri="{FF2B5EF4-FFF2-40B4-BE49-F238E27FC236}">
              <a16:creationId xmlns:a16="http://schemas.microsoft.com/office/drawing/2014/main" id="{076B5C0E-CD63-4659-8B95-EFE9E28038EF}"/>
            </a:ext>
          </a:extLst>
        </xdr:cNvPr>
        <xdr:cNvSpPr/>
      </xdr:nvSpPr>
      <xdr:spPr>
        <a:xfrm>
          <a:off x="6810689" y="345757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 </a:t>
          </a:r>
          <a:r>
            <a:rPr lang="tr-TR"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EMERGING TALENT</a:t>
          </a:r>
          <a:endPar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8</xdr:col>
      <xdr:colOff>1497490</xdr:colOff>
      <xdr:row>29</xdr:row>
      <xdr:rowOff>70410</xdr:rowOff>
    </xdr:from>
    <xdr:to>
      <xdr:col>10</xdr:col>
      <xdr:colOff>840715</xdr:colOff>
      <xdr:row>30</xdr:row>
      <xdr:rowOff>133350</xdr:rowOff>
    </xdr:to>
    <xdr:sp macro="" textlink="'Evalutaion 25'!H5">
      <xdr:nvSpPr>
        <xdr:cNvPr id="125" name="Rectangle: Rounded Corners 124">
          <a:extLst>
            <a:ext uri="{FF2B5EF4-FFF2-40B4-BE49-F238E27FC236}">
              <a16:creationId xmlns:a16="http://schemas.microsoft.com/office/drawing/2014/main" id="{3523EDB8-88C2-49DA-BB71-41E697EAF8E7}"/>
            </a:ext>
          </a:extLst>
        </xdr:cNvPr>
        <xdr:cNvSpPr/>
      </xdr:nvSpPr>
      <xdr:spPr>
        <a:xfrm>
          <a:off x="7152165" y="3934385"/>
          <a:ext cx="106090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BE989F60-6127-428A-9F4E-54B9A196398E}" type="TxLink">
            <a:rPr lang="en-US" sz="1100" b="0" i="0" u="none" strike="noStrike">
              <a:solidFill>
                <a:srgbClr val="000000"/>
              </a:solidFill>
              <a:effectLst/>
              <a:latin typeface="Calibri"/>
              <a:ea typeface="Calibri"/>
              <a:cs typeface="Calibri"/>
            </a:rPr>
            <a:pPr marL="0" indent="0" algn="ctr"/>
            <a:t>0</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13</xdr:row>
      <xdr:rowOff>76200</xdr:rowOff>
    </xdr:from>
    <xdr:to>
      <xdr:col>8</xdr:col>
      <xdr:colOff>1129314</xdr:colOff>
      <xdr:row>19</xdr:row>
      <xdr:rowOff>157200</xdr:rowOff>
    </xdr:to>
    <xdr:sp macro="" textlink="">
      <xdr:nvSpPr>
        <xdr:cNvPr id="126" name="Rectangle 125">
          <a:extLst>
            <a:ext uri="{FF2B5EF4-FFF2-40B4-BE49-F238E27FC236}">
              <a16:creationId xmlns:a16="http://schemas.microsoft.com/office/drawing/2014/main" id="{674D616F-0356-4AFF-8359-72B6ED9FDBA8}"/>
            </a:ext>
          </a:extLst>
        </xdr:cNvPr>
        <xdr:cNvSpPr/>
      </xdr:nvSpPr>
      <xdr:spPr>
        <a:xfrm>
          <a:off x="4940614" y="104775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HIGH ACHIEVER</a:t>
          </a:r>
        </a:p>
      </xdr:txBody>
    </xdr:sp>
    <xdr:clientData/>
  </xdr:twoCellAnchor>
  <xdr:twoCellAnchor>
    <xdr:from>
      <xdr:col>6</xdr:col>
      <xdr:colOff>1335565</xdr:colOff>
      <xdr:row>16</xdr:row>
      <xdr:rowOff>13260</xdr:rowOff>
    </xdr:from>
    <xdr:to>
      <xdr:col>8</xdr:col>
      <xdr:colOff>678790</xdr:colOff>
      <xdr:row>17</xdr:row>
      <xdr:rowOff>76200</xdr:rowOff>
    </xdr:to>
    <xdr:sp macro="" textlink="'Evalutaion 25'!G3">
      <xdr:nvSpPr>
        <xdr:cNvPr id="127" name="Rectangle: Rounded Corners 126">
          <a:extLst>
            <a:ext uri="{FF2B5EF4-FFF2-40B4-BE49-F238E27FC236}">
              <a16:creationId xmlns:a16="http://schemas.microsoft.com/office/drawing/2014/main" id="{E243F529-0EB1-498D-B053-DB15C5107394}"/>
            </a:ext>
          </a:extLst>
        </xdr:cNvPr>
        <xdr:cNvSpPr/>
      </xdr:nvSpPr>
      <xdr:spPr>
        <a:xfrm>
          <a:off x="5278915" y="1524560"/>
          <a:ext cx="1054550" cy="247090"/>
        </a:xfrm>
        <a:prstGeom prst="roundRect">
          <a:avLst>
            <a:gd name="adj" fmla="val 50000"/>
          </a:avLst>
        </a:prstGeom>
        <a:solidFill>
          <a:srgbClr val="4BBA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E2818C56-2E14-40AC-8B4E-CBEDDD1F50CD}" type="TxLink">
            <a:rPr lang="en-US" sz="1100" b="0" i="0" u="none" strike="noStrike">
              <a:solidFill>
                <a:srgbClr val="000000"/>
              </a:solidFill>
              <a:effectLst/>
              <a:latin typeface="Calibri"/>
              <a:ea typeface="Calibri"/>
              <a:cs typeface="Calibri"/>
            </a:rPr>
            <a:pPr algn="ctr"/>
            <a:t>2</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6</xdr:col>
      <xdr:colOff>994089</xdr:colOff>
      <xdr:row>20</xdr:row>
      <xdr:rowOff>14287</xdr:rowOff>
    </xdr:from>
    <xdr:to>
      <xdr:col>8</xdr:col>
      <xdr:colOff>1129314</xdr:colOff>
      <xdr:row>26</xdr:row>
      <xdr:rowOff>95287</xdr:rowOff>
    </xdr:to>
    <xdr:sp macro="" textlink="">
      <xdr:nvSpPr>
        <xdr:cNvPr id="128" name="Rectangle 127">
          <a:extLst>
            <a:ext uri="{FF2B5EF4-FFF2-40B4-BE49-F238E27FC236}">
              <a16:creationId xmlns:a16="http://schemas.microsoft.com/office/drawing/2014/main" id="{D583F7D5-925E-4190-9F87-613EB3A1E2C7}"/>
            </a:ext>
          </a:extLst>
        </xdr:cNvPr>
        <xdr:cNvSpPr/>
      </xdr:nvSpPr>
      <xdr:spPr>
        <a:xfrm>
          <a:off x="4940614" y="224948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STEADY PERFORMER</a:t>
          </a:r>
        </a:p>
      </xdr:txBody>
    </xdr:sp>
    <xdr:clientData/>
  </xdr:twoCellAnchor>
  <xdr:twoCellAnchor>
    <xdr:from>
      <xdr:col>6</xdr:col>
      <xdr:colOff>1335565</xdr:colOff>
      <xdr:row>22</xdr:row>
      <xdr:rowOff>141847</xdr:rowOff>
    </xdr:from>
    <xdr:to>
      <xdr:col>8</xdr:col>
      <xdr:colOff>678790</xdr:colOff>
      <xdr:row>24</xdr:row>
      <xdr:rowOff>14287</xdr:rowOff>
    </xdr:to>
    <xdr:sp macro="" textlink="'Evalutaion 25'!G4">
      <xdr:nvSpPr>
        <xdr:cNvPr id="129" name="Rectangle: Rounded Corners 128">
          <a:extLst>
            <a:ext uri="{FF2B5EF4-FFF2-40B4-BE49-F238E27FC236}">
              <a16:creationId xmlns:a16="http://schemas.microsoft.com/office/drawing/2014/main" id="{DC3B65F5-39C0-4C80-A6FB-F3970B87E939}"/>
            </a:ext>
          </a:extLst>
        </xdr:cNvPr>
        <xdr:cNvSpPr/>
      </xdr:nvSpPr>
      <xdr:spPr>
        <a:xfrm>
          <a:off x="5278915" y="2745347"/>
          <a:ext cx="1054550" cy="22804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D56C5409-2821-4003-B45D-F036C2071166}" type="TxLink">
            <a:rPr lang="en-US" sz="1100" b="0" i="0" u="none" strike="noStrike">
              <a:solidFill>
                <a:srgbClr val="000000"/>
              </a:solidFill>
              <a:effectLst/>
              <a:latin typeface="Calibri"/>
              <a:ea typeface="Calibri"/>
              <a:cs typeface="Calibri"/>
            </a:rPr>
            <a:pPr marL="0" indent="0" algn="ctr"/>
            <a:t>38</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6</xdr:col>
      <xdr:colOff>994089</xdr:colOff>
      <xdr:row>26</xdr:row>
      <xdr:rowOff>133350</xdr:rowOff>
    </xdr:from>
    <xdr:to>
      <xdr:col>8</xdr:col>
      <xdr:colOff>1129314</xdr:colOff>
      <xdr:row>33</xdr:row>
      <xdr:rowOff>23850</xdr:rowOff>
    </xdr:to>
    <xdr:sp macro="" textlink="">
      <xdr:nvSpPr>
        <xdr:cNvPr id="130" name="Rectangle 129">
          <a:extLst>
            <a:ext uri="{FF2B5EF4-FFF2-40B4-BE49-F238E27FC236}">
              <a16:creationId xmlns:a16="http://schemas.microsoft.com/office/drawing/2014/main" id="{C1EFB6FD-D544-42BF-A082-075CD66890C6}"/>
            </a:ext>
          </a:extLst>
        </xdr:cNvPr>
        <xdr:cNvSpPr/>
      </xdr:nvSpPr>
      <xdr:spPr>
        <a:xfrm>
          <a:off x="4940614" y="345757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DEVELOPMENT OPPORTUNITY</a:t>
          </a:r>
        </a:p>
      </xdr:txBody>
    </xdr:sp>
    <xdr:clientData/>
  </xdr:twoCellAnchor>
  <xdr:twoCellAnchor>
    <xdr:from>
      <xdr:col>6</xdr:col>
      <xdr:colOff>1335565</xdr:colOff>
      <xdr:row>29</xdr:row>
      <xdr:rowOff>70410</xdr:rowOff>
    </xdr:from>
    <xdr:to>
      <xdr:col>8</xdr:col>
      <xdr:colOff>678790</xdr:colOff>
      <xdr:row>30</xdr:row>
      <xdr:rowOff>133350</xdr:rowOff>
    </xdr:to>
    <xdr:sp macro="" textlink="'Evalutaion 25'!G5">
      <xdr:nvSpPr>
        <xdr:cNvPr id="131" name="Rectangle: Rounded Corners 130">
          <a:extLst>
            <a:ext uri="{FF2B5EF4-FFF2-40B4-BE49-F238E27FC236}">
              <a16:creationId xmlns:a16="http://schemas.microsoft.com/office/drawing/2014/main" id="{B043E6B2-4E50-43C1-8AB4-279C35932ADA}"/>
            </a:ext>
          </a:extLst>
        </xdr:cNvPr>
        <xdr:cNvSpPr/>
      </xdr:nvSpPr>
      <xdr:spPr>
        <a:xfrm>
          <a:off x="5278915" y="3934385"/>
          <a:ext cx="1054550" cy="24709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A8171E3C-53CF-4731-AA6F-74DE6AB49635}" type="TxLink">
            <a:rPr lang="en-US" sz="1100" b="0" i="0" u="none" strike="noStrike">
              <a:solidFill>
                <a:srgbClr val="000000"/>
              </a:solidFill>
              <a:effectLst/>
              <a:latin typeface="Calibri"/>
              <a:ea typeface="Calibri"/>
              <a:cs typeface="Calibri"/>
            </a:rPr>
            <a:pPr algn="ctr"/>
            <a:t>0</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13</xdr:row>
      <xdr:rowOff>76200</xdr:rowOff>
    </xdr:from>
    <xdr:to>
      <xdr:col>6</xdr:col>
      <xdr:colOff>967389</xdr:colOff>
      <xdr:row>19</xdr:row>
      <xdr:rowOff>157200</xdr:rowOff>
    </xdr:to>
    <xdr:sp macro="" textlink="">
      <xdr:nvSpPr>
        <xdr:cNvPr id="132" name="Rectangle 131">
          <a:extLst>
            <a:ext uri="{FF2B5EF4-FFF2-40B4-BE49-F238E27FC236}">
              <a16:creationId xmlns:a16="http://schemas.microsoft.com/office/drawing/2014/main" id="{F4A3E4CE-751F-4B0C-8230-03490D1B16B1}"/>
            </a:ext>
          </a:extLst>
        </xdr:cNvPr>
        <xdr:cNvSpPr/>
      </xdr:nvSpPr>
      <xdr:spPr>
        <a:xfrm>
          <a:off x="3057839" y="1047750"/>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marL="0" indent="0" algn="ctr"/>
          <a:r>
            <a:rPr lang="en-US" sz="1000" b="0" i="0" u="none" strike="noStrike" spc="100" baseline="0">
              <a:solidFill>
                <a:sysClr val="windowText" lastClr="000000"/>
              </a:solidFill>
              <a:effectLst/>
              <a:latin typeface="Corbel" panose="020B0503020204020204" pitchFamily="34" charset="0"/>
              <a:ea typeface="+mn-ea"/>
              <a:cs typeface="Posterama" panose="020B0504020200020000" pitchFamily="34" charset="0"/>
            </a:rPr>
            <a:t>STAR PERFORMER</a:t>
          </a:r>
        </a:p>
      </xdr:txBody>
    </xdr:sp>
    <xdr:clientData/>
  </xdr:twoCellAnchor>
  <xdr:twoCellAnchor>
    <xdr:from>
      <xdr:col>4</xdr:col>
      <xdr:colOff>1173640</xdr:colOff>
      <xdr:row>16</xdr:row>
      <xdr:rowOff>13260</xdr:rowOff>
    </xdr:from>
    <xdr:to>
      <xdr:col>6</xdr:col>
      <xdr:colOff>516865</xdr:colOff>
      <xdr:row>17</xdr:row>
      <xdr:rowOff>76200</xdr:rowOff>
    </xdr:to>
    <xdr:sp macro="" textlink="'Evalutaion 25'!F3">
      <xdr:nvSpPr>
        <xdr:cNvPr id="133" name="Rectangle: Rounded Corners 132">
          <a:extLst>
            <a:ext uri="{FF2B5EF4-FFF2-40B4-BE49-F238E27FC236}">
              <a16:creationId xmlns:a16="http://schemas.microsoft.com/office/drawing/2014/main" id="{F9DAC99B-EABA-4FDF-8E34-DF344FB6223A}"/>
            </a:ext>
          </a:extLst>
        </xdr:cNvPr>
        <xdr:cNvSpPr/>
      </xdr:nvSpPr>
      <xdr:spPr>
        <a:xfrm>
          <a:off x="3399315" y="1524560"/>
          <a:ext cx="1060900" cy="247090"/>
        </a:xfrm>
        <a:prstGeom prst="roundRect">
          <a:avLst>
            <a:gd name="adj" fmla="val 50000"/>
          </a:avLst>
        </a:prstGeom>
        <a:solidFill>
          <a:srgbClr val="FFC8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marL="0" indent="0" algn="ctr"/>
          <a:fld id="{376AAC71-368E-4687-A110-D7D23CD05A4D}" type="TxLink">
            <a:rPr lang="en-US" sz="1100" b="0" i="0" u="none" strike="noStrike">
              <a:solidFill>
                <a:srgbClr val="000000"/>
              </a:solidFill>
              <a:effectLst/>
              <a:latin typeface="Calibri"/>
              <a:ea typeface="Calibri"/>
              <a:cs typeface="Calibri"/>
            </a:rPr>
            <a:pPr marL="0" indent="0" algn="ctr"/>
            <a:t>0</a:t>
          </a:fld>
          <a:endParaRPr lang="en-US" sz="1100" b="1" i="0" u="none" strike="noStrike">
            <a:solidFill>
              <a:sysClr val="windowText" lastClr="000000"/>
            </a:solidFill>
            <a:effectLst/>
            <a:latin typeface="Corbel" panose="020B0503020204020204" pitchFamily="34" charset="0"/>
            <a:ea typeface="+mn-ea"/>
            <a:cs typeface="Posterama" panose="020B0504020200020000" pitchFamily="34" charset="0"/>
          </a:endParaRPr>
        </a:p>
      </xdr:txBody>
    </xdr:sp>
    <xdr:clientData/>
  </xdr:twoCellAnchor>
  <xdr:twoCellAnchor>
    <xdr:from>
      <xdr:col>4</xdr:col>
      <xdr:colOff>832164</xdr:colOff>
      <xdr:row>20</xdr:row>
      <xdr:rowOff>14287</xdr:rowOff>
    </xdr:from>
    <xdr:to>
      <xdr:col>6</xdr:col>
      <xdr:colOff>967389</xdr:colOff>
      <xdr:row>26</xdr:row>
      <xdr:rowOff>95287</xdr:rowOff>
    </xdr:to>
    <xdr:sp macro="" textlink="">
      <xdr:nvSpPr>
        <xdr:cNvPr id="134" name="Rectangle 133">
          <a:extLst>
            <a:ext uri="{FF2B5EF4-FFF2-40B4-BE49-F238E27FC236}">
              <a16:creationId xmlns:a16="http://schemas.microsoft.com/office/drawing/2014/main" id="{A2E52543-CF74-47DE-AE52-4FEF04446DB8}"/>
            </a:ext>
          </a:extLst>
        </xdr:cNvPr>
        <xdr:cNvSpPr/>
      </xdr:nvSpPr>
      <xdr:spPr>
        <a:xfrm>
          <a:off x="3057839" y="2249487"/>
          <a:ext cx="1849725" cy="1170025"/>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SOLID CONTRIBUTOR</a:t>
          </a:r>
        </a:p>
      </xdr:txBody>
    </xdr:sp>
    <xdr:clientData/>
  </xdr:twoCellAnchor>
  <xdr:twoCellAnchor>
    <xdr:from>
      <xdr:col>4</xdr:col>
      <xdr:colOff>1173640</xdr:colOff>
      <xdr:row>22</xdr:row>
      <xdr:rowOff>141847</xdr:rowOff>
    </xdr:from>
    <xdr:to>
      <xdr:col>6</xdr:col>
      <xdr:colOff>516865</xdr:colOff>
      <xdr:row>24</xdr:row>
      <xdr:rowOff>14287</xdr:rowOff>
    </xdr:to>
    <xdr:sp macro="" textlink="'Evalutaion 25'!F4">
      <xdr:nvSpPr>
        <xdr:cNvPr id="135" name="Rectangle: Rounded Corners 134">
          <a:extLst>
            <a:ext uri="{FF2B5EF4-FFF2-40B4-BE49-F238E27FC236}">
              <a16:creationId xmlns:a16="http://schemas.microsoft.com/office/drawing/2014/main" id="{013997A1-BF57-4FBA-A2AF-4F852219FB03}"/>
            </a:ext>
          </a:extLst>
        </xdr:cNvPr>
        <xdr:cNvSpPr/>
      </xdr:nvSpPr>
      <xdr:spPr>
        <a:xfrm>
          <a:off x="3399315" y="2745347"/>
          <a:ext cx="1060900" cy="228040"/>
        </a:xfrm>
        <a:prstGeom prst="roundRect">
          <a:avLst>
            <a:gd name="adj" fmla="val 50000"/>
          </a:avLst>
        </a:prstGeom>
        <a:solidFill>
          <a:srgbClr val="F489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EAD6F198-06BA-42E2-B89E-E6A7EBBD4E0F}" type="TxLink">
            <a:rPr lang="en-US" sz="1100" b="0" i="0" u="none" strike="noStrike">
              <a:solidFill>
                <a:srgbClr val="000000"/>
              </a:solidFill>
              <a:effectLst/>
              <a:latin typeface="Calibri"/>
              <a:ea typeface="Calibri"/>
              <a:cs typeface="Calibri"/>
            </a:rPr>
            <a:pPr algn="ctr"/>
            <a:t>2</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832164</xdr:colOff>
      <xdr:row>26</xdr:row>
      <xdr:rowOff>133350</xdr:rowOff>
    </xdr:from>
    <xdr:to>
      <xdr:col>6</xdr:col>
      <xdr:colOff>967389</xdr:colOff>
      <xdr:row>33</xdr:row>
      <xdr:rowOff>23850</xdr:rowOff>
    </xdr:to>
    <xdr:sp macro="" textlink="">
      <xdr:nvSpPr>
        <xdr:cNvPr id="136" name="Rectangle 135">
          <a:extLst>
            <a:ext uri="{FF2B5EF4-FFF2-40B4-BE49-F238E27FC236}">
              <a16:creationId xmlns:a16="http://schemas.microsoft.com/office/drawing/2014/main" id="{E2C585AF-9DF7-490F-84E1-DE77886BF751}"/>
            </a:ext>
          </a:extLst>
        </xdr:cNvPr>
        <xdr:cNvSpPr/>
      </xdr:nvSpPr>
      <xdr:spPr>
        <a:xfrm>
          <a:off x="3057839" y="3457575"/>
          <a:ext cx="1849725" cy="1160500"/>
        </a:xfrm>
        <a:prstGeom prst="rect">
          <a:avLst/>
        </a:prstGeom>
        <a:solidFill>
          <a:srgbClr val="F1F6F9"/>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720000" rtlCol="0" anchor="ctr"/>
        <a:lstStyle/>
        <a:p>
          <a:pPr algn="ctr"/>
          <a:r>
            <a:rPr lang="en-US" sz="1000" b="0" i="0" u="none" strike="noStrike" spc="100" baseline="0">
              <a:solidFill>
                <a:sysClr val="windowText" lastClr="000000"/>
              </a:solidFill>
              <a:effectLst/>
              <a:latin typeface="Corbel" panose="020B0503020204020204" pitchFamily="34" charset="0"/>
              <a:cs typeface="Posterama" panose="020B0504020200020000" pitchFamily="34" charset="0"/>
            </a:rPr>
            <a:t>IMPROVEMENT FOCUS</a:t>
          </a:r>
        </a:p>
      </xdr:txBody>
    </xdr:sp>
    <xdr:clientData/>
  </xdr:twoCellAnchor>
  <xdr:twoCellAnchor>
    <xdr:from>
      <xdr:col>4</xdr:col>
      <xdr:colOff>1173640</xdr:colOff>
      <xdr:row>29</xdr:row>
      <xdr:rowOff>70410</xdr:rowOff>
    </xdr:from>
    <xdr:to>
      <xdr:col>6</xdr:col>
      <xdr:colOff>516865</xdr:colOff>
      <xdr:row>30</xdr:row>
      <xdr:rowOff>133350</xdr:rowOff>
    </xdr:to>
    <xdr:sp macro="" textlink="'Evalutaion 25'!F5">
      <xdr:nvSpPr>
        <xdr:cNvPr id="137" name="Rectangle: Rounded Corners 136">
          <a:extLst>
            <a:ext uri="{FF2B5EF4-FFF2-40B4-BE49-F238E27FC236}">
              <a16:creationId xmlns:a16="http://schemas.microsoft.com/office/drawing/2014/main" id="{DD919EC0-3989-4946-BFBD-0A04E7503CA3}"/>
            </a:ext>
          </a:extLst>
        </xdr:cNvPr>
        <xdr:cNvSpPr/>
      </xdr:nvSpPr>
      <xdr:spPr>
        <a:xfrm>
          <a:off x="3399315" y="3934385"/>
          <a:ext cx="1060900" cy="247090"/>
        </a:xfrm>
        <a:prstGeom prst="roundRect">
          <a:avLst>
            <a:gd name="adj" fmla="val 50000"/>
          </a:avLst>
        </a:prstGeom>
        <a:solidFill>
          <a:srgbClr val="FB593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25400" tIns="0" rIns="25400" bIns="0" rtlCol="0" anchor="ctr"/>
        <a:lstStyle/>
        <a:p>
          <a:pPr algn="ctr"/>
          <a:fld id="{B7EE391F-566C-44D0-BDDF-B000A18B8792}" type="TxLink">
            <a:rPr lang="en-US" sz="1100" b="0" i="0" u="none" strike="noStrike">
              <a:solidFill>
                <a:srgbClr val="000000"/>
              </a:solidFill>
              <a:effectLst/>
              <a:latin typeface="Calibri"/>
              <a:ea typeface="Calibri"/>
              <a:cs typeface="Calibri"/>
            </a:rPr>
            <a:pPr algn="ctr"/>
            <a:t>0</a:t>
          </a:fld>
          <a:endParaRPr lang="en-US" sz="1100" b="1" i="0" u="none" strike="noStrike">
            <a:solidFill>
              <a:sysClr val="windowText" lastClr="000000"/>
            </a:solidFill>
            <a:effectLst/>
            <a:latin typeface="Corbel" panose="020B0503020204020204" pitchFamily="34" charset="0"/>
            <a:ea typeface="Calibri"/>
            <a:cs typeface="Posterama" panose="020B0504020200020000" pitchFamily="34" charset="0"/>
          </a:endParaRPr>
        </a:p>
      </xdr:txBody>
    </xdr:sp>
    <xdr:clientData/>
  </xdr:twoCellAnchor>
  <xdr:twoCellAnchor>
    <xdr:from>
      <xdr:col>4</xdr:col>
      <xdr:colOff>830724</xdr:colOff>
      <xdr:row>33</xdr:row>
      <xdr:rowOff>76912</xdr:rowOff>
    </xdr:from>
    <xdr:to>
      <xdr:col>6</xdr:col>
      <xdr:colOff>965949</xdr:colOff>
      <xdr:row>34</xdr:row>
      <xdr:rowOff>95250</xdr:rowOff>
    </xdr:to>
    <xdr:sp macro="" textlink="">
      <xdr:nvSpPr>
        <xdr:cNvPr id="138" name="Rectangle 137">
          <a:extLst>
            <a:ext uri="{FF2B5EF4-FFF2-40B4-BE49-F238E27FC236}">
              <a16:creationId xmlns:a16="http://schemas.microsoft.com/office/drawing/2014/main" id="{DAC638B4-318D-479A-9EC3-D7D5291926E4}"/>
            </a:ext>
          </a:extLst>
        </xdr:cNvPr>
        <xdr:cNvSpPr/>
      </xdr:nvSpPr>
      <xdr:spPr>
        <a:xfrm>
          <a:off x="3056399" y="4667962"/>
          <a:ext cx="1849725"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6</xdr:col>
      <xdr:colOff>992649</xdr:colOff>
      <xdr:row>33</xdr:row>
      <xdr:rowOff>76912</xdr:rowOff>
    </xdr:from>
    <xdr:to>
      <xdr:col>8</xdr:col>
      <xdr:colOff>1127874</xdr:colOff>
      <xdr:row>34</xdr:row>
      <xdr:rowOff>95250</xdr:rowOff>
    </xdr:to>
    <xdr:sp macro="" textlink="">
      <xdr:nvSpPr>
        <xdr:cNvPr id="139" name="Rectangle 138">
          <a:extLst>
            <a:ext uri="{FF2B5EF4-FFF2-40B4-BE49-F238E27FC236}">
              <a16:creationId xmlns:a16="http://schemas.microsoft.com/office/drawing/2014/main" id="{697939D6-47AD-41AB-B2EE-3E18044EF289}"/>
            </a:ext>
          </a:extLst>
        </xdr:cNvPr>
        <xdr:cNvSpPr/>
      </xdr:nvSpPr>
      <xdr:spPr>
        <a:xfrm>
          <a:off x="4935999" y="4667962"/>
          <a:ext cx="1852900"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8</xdr:col>
      <xdr:colOff>1154574</xdr:colOff>
      <xdr:row>33</xdr:row>
      <xdr:rowOff>76912</xdr:rowOff>
    </xdr:from>
    <xdr:to>
      <xdr:col>10</xdr:col>
      <xdr:colOff>1289799</xdr:colOff>
      <xdr:row>34</xdr:row>
      <xdr:rowOff>95250</xdr:rowOff>
    </xdr:to>
    <xdr:sp macro="" textlink="">
      <xdr:nvSpPr>
        <xdr:cNvPr id="140" name="Rectangle 139">
          <a:extLst>
            <a:ext uri="{FF2B5EF4-FFF2-40B4-BE49-F238E27FC236}">
              <a16:creationId xmlns:a16="http://schemas.microsoft.com/office/drawing/2014/main" id="{1C8DB598-0060-4A43-9229-F03E21243118}"/>
            </a:ext>
          </a:extLst>
        </xdr:cNvPr>
        <xdr:cNvSpPr/>
      </xdr:nvSpPr>
      <xdr:spPr>
        <a:xfrm>
          <a:off x="6809249" y="4667962"/>
          <a:ext cx="1849725" cy="199313"/>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4</xdr:col>
      <xdr:colOff>568764</xdr:colOff>
      <xdr:row>26</xdr:row>
      <xdr:rowOff>124905</xdr:rowOff>
    </xdr:from>
    <xdr:to>
      <xdr:col>4</xdr:col>
      <xdr:colOff>777564</xdr:colOff>
      <xdr:row>32</xdr:row>
      <xdr:rowOff>155505</xdr:rowOff>
    </xdr:to>
    <xdr:sp macro="" textlink="">
      <xdr:nvSpPr>
        <xdr:cNvPr id="141" name="Rectangle 140">
          <a:extLst>
            <a:ext uri="{FF2B5EF4-FFF2-40B4-BE49-F238E27FC236}">
              <a16:creationId xmlns:a16="http://schemas.microsoft.com/office/drawing/2014/main" id="{55D22B1B-21F5-40BB-8D95-BF9EFEA6E11E}"/>
            </a:ext>
          </a:extLst>
        </xdr:cNvPr>
        <xdr:cNvSpPr/>
      </xdr:nvSpPr>
      <xdr:spPr>
        <a:xfrm rot="16200000">
          <a:off x="2340614" y="3902955"/>
          <a:ext cx="111962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Poor</a:t>
          </a:r>
        </a:p>
      </xdr:txBody>
    </xdr:sp>
    <xdr:clientData/>
  </xdr:twoCellAnchor>
  <xdr:twoCellAnchor>
    <xdr:from>
      <xdr:col>4</xdr:col>
      <xdr:colOff>568764</xdr:colOff>
      <xdr:row>19</xdr:row>
      <xdr:rowOff>186817</xdr:rowOff>
    </xdr:from>
    <xdr:to>
      <xdr:col>4</xdr:col>
      <xdr:colOff>777564</xdr:colOff>
      <xdr:row>26</xdr:row>
      <xdr:rowOff>26917</xdr:rowOff>
    </xdr:to>
    <xdr:sp macro="" textlink="">
      <xdr:nvSpPr>
        <xdr:cNvPr id="142" name="Rectangle 141">
          <a:extLst>
            <a:ext uri="{FF2B5EF4-FFF2-40B4-BE49-F238E27FC236}">
              <a16:creationId xmlns:a16="http://schemas.microsoft.com/office/drawing/2014/main" id="{828E6F19-DE60-4AE8-A5C0-C6E7E65B547F}"/>
            </a:ext>
          </a:extLst>
        </xdr:cNvPr>
        <xdr:cNvSpPr/>
      </xdr:nvSpPr>
      <xdr:spPr>
        <a:xfrm rot="16200000">
          <a:off x="2343789" y="2694867"/>
          <a:ext cx="1113275" cy="205625"/>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Average</a:t>
          </a:r>
        </a:p>
      </xdr:txBody>
    </xdr:sp>
    <xdr:clientData/>
  </xdr:twoCellAnchor>
  <xdr:twoCellAnchor>
    <xdr:from>
      <xdr:col>4</xdr:col>
      <xdr:colOff>565465</xdr:colOff>
      <xdr:row>13</xdr:row>
      <xdr:rowOff>93224</xdr:rowOff>
    </xdr:from>
    <xdr:to>
      <xdr:col>4</xdr:col>
      <xdr:colOff>774265</xdr:colOff>
      <xdr:row>19</xdr:row>
      <xdr:rowOff>123824</xdr:rowOff>
    </xdr:to>
    <xdr:sp macro="" textlink="">
      <xdr:nvSpPr>
        <xdr:cNvPr id="143" name="Rectangle 142">
          <a:extLst>
            <a:ext uri="{FF2B5EF4-FFF2-40B4-BE49-F238E27FC236}">
              <a16:creationId xmlns:a16="http://schemas.microsoft.com/office/drawing/2014/main" id="{C544C639-CB80-43A4-A620-DE61B078AF93}"/>
            </a:ext>
          </a:extLst>
        </xdr:cNvPr>
        <xdr:cNvSpPr/>
      </xdr:nvSpPr>
      <xdr:spPr>
        <a:xfrm rot="16200000">
          <a:off x="2335727" y="1520187"/>
          <a:ext cx="1119625" cy="208800"/>
        </a:xfrm>
        <a:prstGeom prst="rect">
          <a:avLst/>
        </a:prstGeom>
        <a:solidFill>
          <a:schemeClr val="tx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overflow" horzOverflow="overflow" lIns="25400" tIns="0" rIns="25400" bIns="0" rtlCol="0" anchor="ctr">
          <a:noAutofit/>
        </a:bodyPr>
        <a:lstStyle/>
        <a:p>
          <a:pPr algn="ctr"/>
          <a:r>
            <a:rPr lang="en-US" sz="1000" b="1" i="0" u="none" strike="noStrike" cap="all" baseline="0">
              <a:solidFill>
                <a:schemeClr val="bg1"/>
              </a:solidFill>
              <a:effectLst>
                <a:outerShdw blurRad="50800" dist="38100" dir="8100000" algn="tr" rotWithShape="0">
                  <a:prstClr val="black">
                    <a:alpha val="40000"/>
                  </a:prstClr>
                </a:outerShdw>
              </a:effectLst>
              <a:latin typeface="Corbel" panose="020B0503020204020204" pitchFamily="34" charset="0"/>
              <a:ea typeface="Calibri"/>
              <a:cs typeface="Posterama" panose="020B0504020200020000" pitchFamily="34" charset="0"/>
            </a:rPr>
            <a:t>High</a:t>
          </a:r>
        </a:p>
      </xdr:txBody>
    </xdr:sp>
    <xdr:clientData/>
  </xdr:twoCellAnchor>
  <xdr:twoCellAnchor>
    <xdr:from>
      <xdr:col>10</xdr:col>
      <xdr:colOff>1066800</xdr:colOff>
      <xdr:row>13</xdr:row>
      <xdr:rowOff>104776</xdr:rowOff>
    </xdr:from>
    <xdr:to>
      <xdr:col>10</xdr:col>
      <xdr:colOff>1228725</xdr:colOff>
      <xdr:row>14</xdr:row>
      <xdr:rowOff>66676</xdr:rowOff>
    </xdr:to>
    <xdr:sp macro="" textlink="">
      <xdr:nvSpPr>
        <xdr:cNvPr id="144" name="Star: 5 Points 143">
          <a:extLst>
            <a:ext uri="{FF2B5EF4-FFF2-40B4-BE49-F238E27FC236}">
              <a16:creationId xmlns:a16="http://schemas.microsoft.com/office/drawing/2014/main" id="{53FB9458-BB11-41E1-A38E-46431CBBC0E5}"/>
            </a:ext>
          </a:extLst>
        </xdr:cNvPr>
        <xdr:cNvSpPr/>
      </xdr:nvSpPr>
      <xdr:spPr>
        <a:xfrm>
          <a:off x="8439150" y="1073151"/>
          <a:ext cx="158750" cy="1428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523874</xdr:colOff>
      <xdr:row>28</xdr:row>
      <xdr:rowOff>85725</xdr:rowOff>
    </xdr:from>
    <xdr:to>
      <xdr:col>6</xdr:col>
      <xdr:colOff>971549</xdr:colOff>
      <xdr:row>29</xdr:row>
      <xdr:rowOff>171450</xdr:rowOff>
    </xdr:to>
    <xdr:sp macro="" textlink="">
      <xdr:nvSpPr>
        <xdr:cNvPr id="145" name="TextBox 144">
          <a:extLst>
            <a:ext uri="{FF2B5EF4-FFF2-40B4-BE49-F238E27FC236}">
              <a16:creationId xmlns:a16="http://schemas.microsoft.com/office/drawing/2014/main" id="{1E5AD49D-19CC-45F1-9F3E-7935469B9216}"/>
            </a:ext>
          </a:extLst>
        </xdr:cNvPr>
        <xdr:cNvSpPr txBox="1"/>
      </xdr:nvSpPr>
      <xdr:spPr>
        <a:xfrm>
          <a:off x="4470399" y="3768725"/>
          <a:ext cx="444500" cy="26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a:t>
          </a:r>
        </a:p>
      </xdr:txBody>
    </xdr:sp>
    <xdr:clientData/>
  </xdr:twoCellAnchor>
  <xdr:twoCellAnchor>
    <xdr:from>
      <xdr:col>8</xdr:col>
      <xdr:colOff>708339</xdr:colOff>
      <xdr:row>28</xdr:row>
      <xdr:rowOff>142875</xdr:rowOff>
    </xdr:from>
    <xdr:to>
      <xdr:col>8</xdr:col>
      <xdr:colOff>1156014</xdr:colOff>
      <xdr:row>30</xdr:row>
      <xdr:rowOff>38100</xdr:rowOff>
    </xdr:to>
    <xdr:sp macro="" textlink="">
      <xdr:nvSpPr>
        <xdr:cNvPr id="146" name="TextBox 145">
          <a:extLst>
            <a:ext uri="{FF2B5EF4-FFF2-40B4-BE49-F238E27FC236}">
              <a16:creationId xmlns:a16="http://schemas.microsoft.com/office/drawing/2014/main" id="{AEF64045-AB30-442D-8C2B-ABE7634887BA}"/>
            </a:ext>
          </a:extLst>
        </xdr:cNvPr>
        <xdr:cNvSpPr txBox="1"/>
      </xdr:nvSpPr>
      <xdr:spPr>
        <a:xfrm>
          <a:off x="6369364" y="382587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B</a:t>
          </a:r>
        </a:p>
      </xdr:txBody>
    </xdr:sp>
    <xdr:clientData/>
  </xdr:twoCellAnchor>
  <xdr:twoCellAnchor>
    <xdr:from>
      <xdr:col>10</xdr:col>
      <xdr:colOff>860739</xdr:colOff>
      <xdr:row>28</xdr:row>
      <xdr:rowOff>142875</xdr:rowOff>
    </xdr:from>
    <xdr:to>
      <xdr:col>10</xdr:col>
      <xdr:colOff>1308414</xdr:colOff>
      <xdr:row>30</xdr:row>
      <xdr:rowOff>38100</xdr:rowOff>
    </xdr:to>
    <xdr:sp macro="" textlink="">
      <xdr:nvSpPr>
        <xdr:cNvPr id="147" name="TextBox 146">
          <a:extLst>
            <a:ext uri="{FF2B5EF4-FFF2-40B4-BE49-F238E27FC236}">
              <a16:creationId xmlns:a16="http://schemas.microsoft.com/office/drawing/2014/main" id="{122F76CB-CB1C-47DA-9164-F10C620FA644}"/>
            </a:ext>
          </a:extLst>
        </xdr:cNvPr>
        <xdr:cNvSpPr txBox="1"/>
      </xdr:nvSpPr>
      <xdr:spPr>
        <a:xfrm>
          <a:off x="8236264" y="3825875"/>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C</a:t>
          </a:r>
        </a:p>
      </xdr:txBody>
    </xdr:sp>
    <xdr:clientData/>
  </xdr:twoCellAnchor>
  <xdr:twoCellAnchor>
    <xdr:from>
      <xdr:col>6</xdr:col>
      <xdr:colOff>527364</xdr:colOff>
      <xdr:row>22</xdr:row>
      <xdr:rowOff>61912</xdr:rowOff>
    </xdr:from>
    <xdr:to>
      <xdr:col>6</xdr:col>
      <xdr:colOff>975039</xdr:colOff>
      <xdr:row>23</xdr:row>
      <xdr:rowOff>147637</xdr:rowOff>
    </xdr:to>
    <xdr:sp macro="" textlink="">
      <xdr:nvSpPr>
        <xdr:cNvPr id="148" name="TextBox 147">
          <a:extLst>
            <a:ext uri="{FF2B5EF4-FFF2-40B4-BE49-F238E27FC236}">
              <a16:creationId xmlns:a16="http://schemas.microsoft.com/office/drawing/2014/main" id="{34968827-6442-438D-BC39-665B625757C3}"/>
            </a:ext>
          </a:extLst>
        </xdr:cNvPr>
        <xdr:cNvSpPr txBox="1"/>
      </xdr:nvSpPr>
      <xdr:spPr>
        <a:xfrm>
          <a:off x="4467539" y="266541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a:t>
          </a:r>
        </a:p>
      </xdr:txBody>
    </xdr:sp>
    <xdr:clientData/>
  </xdr:twoCellAnchor>
  <xdr:twoCellAnchor>
    <xdr:from>
      <xdr:col>8</xdr:col>
      <xdr:colOff>708339</xdr:colOff>
      <xdr:row>22</xdr:row>
      <xdr:rowOff>71437</xdr:rowOff>
    </xdr:from>
    <xdr:to>
      <xdr:col>8</xdr:col>
      <xdr:colOff>1156014</xdr:colOff>
      <xdr:row>23</xdr:row>
      <xdr:rowOff>157162</xdr:rowOff>
    </xdr:to>
    <xdr:sp macro="" textlink="">
      <xdr:nvSpPr>
        <xdr:cNvPr id="149" name="TextBox 148">
          <a:extLst>
            <a:ext uri="{FF2B5EF4-FFF2-40B4-BE49-F238E27FC236}">
              <a16:creationId xmlns:a16="http://schemas.microsoft.com/office/drawing/2014/main" id="{A2EF92CE-51F8-4AEF-8215-80CEDC1C0A3C}"/>
            </a:ext>
          </a:extLst>
        </xdr:cNvPr>
        <xdr:cNvSpPr txBox="1"/>
      </xdr:nvSpPr>
      <xdr:spPr>
        <a:xfrm>
          <a:off x="6369364" y="2668587"/>
          <a:ext cx="441325"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B</a:t>
          </a:r>
        </a:p>
      </xdr:txBody>
    </xdr:sp>
    <xdr:clientData/>
  </xdr:twoCellAnchor>
  <xdr:twoCellAnchor>
    <xdr:from>
      <xdr:col>10</xdr:col>
      <xdr:colOff>870264</xdr:colOff>
      <xdr:row>22</xdr:row>
      <xdr:rowOff>61912</xdr:rowOff>
    </xdr:from>
    <xdr:to>
      <xdr:col>10</xdr:col>
      <xdr:colOff>1317939</xdr:colOff>
      <xdr:row>23</xdr:row>
      <xdr:rowOff>147637</xdr:rowOff>
    </xdr:to>
    <xdr:sp macro="" textlink="">
      <xdr:nvSpPr>
        <xdr:cNvPr id="150" name="TextBox 149">
          <a:extLst>
            <a:ext uri="{FF2B5EF4-FFF2-40B4-BE49-F238E27FC236}">
              <a16:creationId xmlns:a16="http://schemas.microsoft.com/office/drawing/2014/main" id="{B71D550B-07FB-4DBE-BD81-95AFA77E803D}"/>
            </a:ext>
          </a:extLst>
        </xdr:cNvPr>
        <xdr:cNvSpPr txBox="1"/>
      </xdr:nvSpPr>
      <xdr:spPr>
        <a:xfrm>
          <a:off x="8239439" y="2665412"/>
          <a:ext cx="4540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C</a:t>
          </a:r>
        </a:p>
      </xdr:txBody>
    </xdr:sp>
    <xdr:clientData/>
  </xdr:twoCellAnchor>
  <xdr:twoCellAnchor>
    <xdr:from>
      <xdr:col>6</xdr:col>
      <xdr:colOff>536889</xdr:colOff>
      <xdr:row>15</xdr:row>
      <xdr:rowOff>95250</xdr:rowOff>
    </xdr:from>
    <xdr:to>
      <xdr:col>6</xdr:col>
      <xdr:colOff>984564</xdr:colOff>
      <xdr:row>16</xdr:row>
      <xdr:rowOff>180975</xdr:rowOff>
    </xdr:to>
    <xdr:sp macro="" textlink="">
      <xdr:nvSpPr>
        <xdr:cNvPr id="151" name="TextBox 150">
          <a:extLst>
            <a:ext uri="{FF2B5EF4-FFF2-40B4-BE49-F238E27FC236}">
              <a16:creationId xmlns:a16="http://schemas.microsoft.com/office/drawing/2014/main" id="{07948C36-83E2-4817-897B-A799F7555ACC}"/>
            </a:ext>
          </a:extLst>
        </xdr:cNvPr>
        <xdr:cNvSpPr txBox="1"/>
      </xdr:nvSpPr>
      <xdr:spPr>
        <a:xfrm>
          <a:off x="4483414" y="1428750"/>
          <a:ext cx="4413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A</a:t>
          </a:r>
        </a:p>
      </xdr:txBody>
    </xdr:sp>
    <xdr:clientData/>
  </xdr:twoCellAnchor>
  <xdr:twoCellAnchor>
    <xdr:from>
      <xdr:col>8</xdr:col>
      <xdr:colOff>708339</xdr:colOff>
      <xdr:row>15</xdr:row>
      <xdr:rowOff>104775</xdr:rowOff>
    </xdr:from>
    <xdr:to>
      <xdr:col>8</xdr:col>
      <xdr:colOff>1156014</xdr:colOff>
      <xdr:row>17</xdr:row>
      <xdr:rowOff>0</xdr:rowOff>
    </xdr:to>
    <xdr:sp macro="" textlink="">
      <xdr:nvSpPr>
        <xdr:cNvPr id="152" name="TextBox 151">
          <a:extLst>
            <a:ext uri="{FF2B5EF4-FFF2-40B4-BE49-F238E27FC236}">
              <a16:creationId xmlns:a16="http://schemas.microsoft.com/office/drawing/2014/main" id="{6204F6CF-2EF6-4EF8-B976-67CA75BC13DE}"/>
            </a:ext>
          </a:extLst>
        </xdr:cNvPr>
        <xdr:cNvSpPr txBox="1"/>
      </xdr:nvSpPr>
      <xdr:spPr>
        <a:xfrm>
          <a:off x="6369364" y="1435100"/>
          <a:ext cx="441325"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B</a:t>
          </a:r>
        </a:p>
      </xdr:txBody>
    </xdr:sp>
    <xdr:clientData/>
  </xdr:twoCellAnchor>
  <xdr:twoCellAnchor>
    <xdr:from>
      <xdr:col>10</xdr:col>
      <xdr:colOff>851214</xdr:colOff>
      <xdr:row>15</xdr:row>
      <xdr:rowOff>57150</xdr:rowOff>
    </xdr:from>
    <xdr:to>
      <xdr:col>10</xdr:col>
      <xdr:colOff>1298889</xdr:colOff>
      <xdr:row>16</xdr:row>
      <xdr:rowOff>142875</xdr:rowOff>
    </xdr:to>
    <xdr:sp macro="" textlink="">
      <xdr:nvSpPr>
        <xdr:cNvPr id="153" name="TextBox 152">
          <a:extLst>
            <a:ext uri="{FF2B5EF4-FFF2-40B4-BE49-F238E27FC236}">
              <a16:creationId xmlns:a16="http://schemas.microsoft.com/office/drawing/2014/main" id="{77FC4B4C-41E2-4B24-85C3-3BA0BAC9C69A}"/>
            </a:ext>
          </a:extLst>
        </xdr:cNvPr>
        <xdr:cNvSpPr txBox="1"/>
      </xdr:nvSpPr>
      <xdr:spPr>
        <a:xfrm>
          <a:off x="8220389" y="1390650"/>
          <a:ext cx="454025" cy="2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C</a:t>
          </a:r>
        </a:p>
      </xdr:txBody>
    </xdr:sp>
    <xdr:clientData/>
  </xdr:twoCellAnchor>
  <xdr:twoCellAnchor editAs="absolute">
    <xdr:from>
      <xdr:col>11</xdr:col>
      <xdr:colOff>33617</xdr:colOff>
      <xdr:row>17</xdr:row>
      <xdr:rowOff>33619</xdr:rowOff>
    </xdr:from>
    <xdr:to>
      <xdr:col>13</xdr:col>
      <xdr:colOff>67235</xdr:colOff>
      <xdr:row>26</xdr:row>
      <xdr:rowOff>89649</xdr:rowOff>
    </xdr:to>
    <mc:AlternateContent xmlns:mc="http://schemas.openxmlformats.org/markup-compatibility/2006" xmlns:sle15="http://schemas.microsoft.com/office/drawing/2012/slicer">
      <mc:Choice Requires="sle15">
        <xdr:graphicFrame macro="">
          <xdr:nvGraphicFramePr>
            <xdr:cNvPr id="2" name="Department 2">
              <a:extLst>
                <a:ext uri="{FF2B5EF4-FFF2-40B4-BE49-F238E27FC236}">
                  <a16:creationId xmlns:a16="http://schemas.microsoft.com/office/drawing/2014/main" id="{65814B81-5751-401A-9569-23729C933F5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424146" y="3384178"/>
              <a:ext cx="5614148" cy="17705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78442</xdr:colOff>
      <xdr:row>12</xdr:row>
      <xdr:rowOff>190499</xdr:rowOff>
    </xdr:from>
    <xdr:to>
      <xdr:col>13</xdr:col>
      <xdr:colOff>22412</xdr:colOff>
      <xdr:row>16</xdr:row>
      <xdr:rowOff>78440</xdr:rowOff>
    </xdr:to>
    <mc:AlternateContent xmlns:mc="http://schemas.openxmlformats.org/markup-compatibility/2006" xmlns:sle15="http://schemas.microsoft.com/office/drawing/2012/slicer">
      <mc:Choice Requires="sle15">
        <xdr:graphicFrame macro="">
          <xdr:nvGraphicFramePr>
            <xdr:cNvPr id="3" name="Location 3">
              <a:extLst>
                <a:ext uri="{FF2B5EF4-FFF2-40B4-BE49-F238E27FC236}">
                  <a16:creationId xmlns:a16="http://schemas.microsoft.com/office/drawing/2014/main" id="{C3B4B39E-D3A6-404A-9E96-17EEA0903599}"/>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9468971" y="2588558"/>
              <a:ext cx="5524500" cy="6499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urak\Desktop\9%20box\9-Box-Grid-Talent-Management-Someka-Excel-Template-V5-16box.xlsx" TargetMode="External"/><Relationship Id="rId1" Type="http://schemas.openxmlformats.org/officeDocument/2006/relationships/externalLinkPath" Target="file:///C:\Users\burak\Desktop\9%20box\9-Box-Grid-Talent-Management-Someka-Excel-Template-V5-16box.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bcsp-my.sharepoint.com/personal/abharbi_mbc_net/Documents/Documents/HR/9-Box-Grid%20Az_%20-%20Copy.xlsx" TargetMode="External"/><Relationship Id="rId1" Type="http://schemas.openxmlformats.org/officeDocument/2006/relationships/externalLinkPath" Target="9-Box-Grid%20Az_%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EmployeeTable"/>
      <sheetName val="ListByCategory"/>
      <sheetName val="Settings"/>
      <sheetName val="Calculation"/>
      <sheetName val="ToU"/>
    </sheetNames>
    <sheetDataSet>
      <sheetData sheetId="0"/>
      <sheetData sheetId="1">
        <row r="5">
          <cell r="D5" t="str">
            <v>DEPARTMENT</v>
          </cell>
        </row>
      </sheetData>
      <sheetData sheetId="2"/>
      <sheetData sheetId="3">
        <row r="7">
          <cell r="I7" t="str">
            <v>Star</v>
          </cell>
          <cell r="J7" t="str">
            <v>3 - 3</v>
          </cell>
        </row>
        <row r="8">
          <cell r="I8" t="str">
            <v>High performance</v>
          </cell>
          <cell r="J8" t="str">
            <v>3 - 2</v>
          </cell>
        </row>
        <row r="9">
          <cell r="I9" t="str">
            <v>High potential</v>
          </cell>
          <cell r="J9" t="str">
            <v>2 - 3</v>
          </cell>
        </row>
        <row r="10">
          <cell r="I10" t="str">
            <v>Potential Gem</v>
          </cell>
          <cell r="J10" t="str">
            <v>1 - 3</v>
          </cell>
        </row>
        <row r="11">
          <cell r="I11" t="str">
            <v>Core Player</v>
          </cell>
          <cell r="J11" t="str">
            <v>2 - 2</v>
          </cell>
        </row>
        <row r="12">
          <cell r="I12" t="str">
            <v>Solid Performer</v>
          </cell>
          <cell r="J12" t="str">
            <v>3 - 1</v>
          </cell>
        </row>
        <row r="13">
          <cell r="I13" t="str">
            <v>Inconsistent player</v>
          </cell>
          <cell r="J13" t="str">
            <v>1 - 2</v>
          </cell>
        </row>
        <row r="14">
          <cell r="I14" t="str">
            <v>Average performer</v>
          </cell>
          <cell r="J14" t="str">
            <v>2 - 1</v>
          </cell>
        </row>
        <row r="15">
          <cell r="I15" t="str">
            <v>Risk</v>
          </cell>
          <cell r="J15" t="str">
            <v>1 - 1</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Result"/>
      <sheetName val="Evalution"/>
      <sheetName val="Evalutaion 23"/>
      <sheetName val="Evalutaion 24"/>
      <sheetName val="Evalution 25"/>
      <sheetName val="Updated 25"/>
      <sheetName val="Sheet1 (2)"/>
      <sheetName val="Sheet1"/>
    </sheetNames>
    <sheetDataSet>
      <sheetData sheetId="0"/>
      <sheetData sheetId="1">
        <row r="7">
          <cell r="A7">
            <v>0</v>
          </cell>
          <cell r="B7">
            <v>1</v>
          </cell>
          <cell r="C7" t="str">
            <v>1A</v>
          </cell>
        </row>
        <row r="8">
          <cell r="A8">
            <v>1.1000000000000001</v>
          </cell>
          <cell r="B8">
            <v>1.5</v>
          </cell>
          <cell r="C8" t="str">
            <v>1B</v>
          </cell>
        </row>
        <row r="9">
          <cell r="A9">
            <v>1.6</v>
          </cell>
          <cell r="B9">
            <v>2</v>
          </cell>
          <cell r="C9" t="str">
            <v>1C</v>
          </cell>
        </row>
        <row r="10">
          <cell r="A10">
            <v>2.1</v>
          </cell>
          <cell r="B10">
            <v>2.5</v>
          </cell>
          <cell r="C10" t="str">
            <v>2A</v>
          </cell>
        </row>
        <row r="11">
          <cell r="A11">
            <v>2.6</v>
          </cell>
          <cell r="B11">
            <v>3</v>
          </cell>
          <cell r="C11" t="str">
            <v>2B</v>
          </cell>
        </row>
        <row r="12">
          <cell r="A12">
            <v>3.1</v>
          </cell>
          <cell r="B12">
            <v>3.5</v>
          </cell>
          <cell r="C12" t="str">
            <v>2C</v>
          </cell>
        </row>
        <row r="13">
          <cell r="A13">
            <v>3.6</v>
          </cell>
          <cell r="B13">
            <v>4</v>
          </cell>
          <cell r="C13" t="str">
            <v>3A</v>
          </cell>
        </row>
        <row r="14">
          <cell r="A14">
            <v>4.0999999999999996</v>
          </cell>
          <cell r="B14">
            <v>4.5</v>
          </cell>
          <cell r="C14" t="str">
            <v>3B</v>
          </cell>
        </row>
        <row r="15">
          <cell r="A15">
            <v>4.5999999999999996</v>
          </cell>
          <cell r="B15">
            <v>5</v>
          </cell>
          <cell r="C15" t="str">
            <v>3C</v>
          </cell>
        </row>
      </sheetData>
      <sheetData sheetId="2"/>
      <sheetData sheetId="3">
        <row r="2">
          <cell r="G2">
            <v>5</v>
          </cell>
          <cell r="H2">
            <v>5</v>
          </cell>
        </row>
        <row r="3">
          <cell r="G3">
            <v>3.9</v>
          </cell>
          <cell r="H3">
            <v>3.8</v>
          </cell>
        </row>
        <row r="4">
          <cell r="G4">
            <v>3</v>
          </cell>
          <cell r="H4">
            <v>3.7</v>
          </cell>
        </row>
        <row r="5">
          <cell r="G5">
            <v>4.5999999999999996</v>
          </cell>
          <cell r="H5">
            <v>5</v>
          </cell>
        </row>
        <row r="6">
          <cell r="G6">
            <v>4.3</v>
          </cell>
          <cell r="H6">
            <v>4.3</v>
          </cell>
        </row>
        <row r="7">
          <cell r="G7">
            <v>4</v>
          </cell>
          <cell r="H7">
            <v>3.7</v>
          </cell>
        </row>
        <row r="8">
          <cell r="G8">
            <v>0</v>
          </cell>
          <cell r="H8">
            <v>3.8</v>
          </cell>
        </row>
        <row r="9">
          <cell r="G9">
            <v>3.5</v>
          </cell>
          <cell r="H9">
            <v>3.3</v>
          </cell>
        </row>
        <row r="10">
          <cell r="G10">
            <v>3.7</v>
          </cell>
          <cell r="H10">
            <v>3.8</v>
          </cell>
        </row>
        <row r="11">
          <cell r="G11">
            <v>3.5</v>
          </cell>
          <cell r="H11">
            <v>3</v>
          </cell>
        </row>
        <row r="12">
          <cell r="G12">
            <v>4</v>
          </cell>
          <cell r="H12">
            <v>3.7</v>
          </cell>
        </row>
        <row r="13">
          <cell r="G13">
            <v>4.2</v>
          </cell>
          <cell r="H13">
            <v>4.5</v>
          </cell>
        </row>
        <row r="14">
          <cell r="G14">
            <v>5</v>
          </cell>
          <cell r="H14">
            <v>4.8</v>
          </cell>
        </row>
        <row r="15">
          <cell r="G15">
            <v>4.4000000000000004</v>
          </cell>
          <cell r="H15">
            <v>4.7</v>
          </cell>
        </row>
        <row r="16">
          <cell r="G16">
            <v>3.5</v>
          </cell>
          <cell r="H16">
            <v>3.5</v>
          </cell>
        </row>
        <row r="17">
          <cell r="G17">
            <v>0</v>
          </cell>
          <cell r="H17">
            <v>3.3</v>
          </cell>
        </row>
        <row r="18">
          <cell r="G18">
            <v>4</v>
          </cell>
          <cell r="H18">
            <v>4</v>
          </cell>
        </row>
        <row r="19">
          <cell r="G19">
            <v>4.7</v>
          </cell>
          <cell r="H19">
            <v>4.3</v>
          </cell>
        </row>
        <row r="20">
          <cell r="G20">
            <v>4</v>
          </cell>
          <cell r="H20">
            <v>3.8</v>
          </cell>
        </row>
        <row r="21">
          <cell r="G21">
            <v>3</v>
          </cell>
          <cell r="H21">
            <v>3</v>
          </cell>
        </row>
        <row r="22">
          <cell r="G22">
            <v>4.3</v>
          </cell>
          <cell r="H22">
            <v>4.8</v>
          </cell>
        </row>
        <row r="23">
          <cell r="G23">
            <v>3.6</v>
          </cell>
          <cell r="H23">
            <v>3.5</v>
          </cell>
        </row>
        <row r="24">
          <cell r="G24">
            <v>3.4</v>
          </cell>
          <cell r="H24">
            <v>3.3</v>
          </cell>
        </row>
        <row r="25">
          <cell r="G25">
            <v>0</v>
          </cell>
          <cell r="H25">
            <v>4</v>
          </cell>
        </row>
        <row r="26">
          <cell r="G26">
            <v>5</v>
          </cell>
          <cell r="H26">
            <v>4.8</v>
          </cell>
        </row>
        <row r="27">
          <cell r="G27">
            <v>3.5</v>
          </cell>
          <cell r="H27">
            <v>3.7</v>
          </cell>
        </row>
        <row r="28">
          <cell r="G28">
            <v>3</v>
          </cell>
          <cell r="H28">
            <v>3</v>
          </cell>
        </row>
        <row r="29">
          <cell r="G29">
            <v>0</v>
          </cell>
          <cell r="H29">
            <v>3.3</v>
          </cell>
        </row>
        <row r="30">
          <cell r="G30">
            <v>4</v>
          </cell>
          <cell r="H30">
            <v>3.5</v>
          </cell>
        </row>
        <row r="31">
          <cell r="G31">
            <v>0</v>
          </cell>
          <cell r="H31">
            <v>3</v>
          </cell>
        </row>
        <row r="32">
          <cell r="G32">
            <v>4.5999999999999996</v>
          </cell>
          <cell r="H32">
            <v>4</v>
          </cell>
        </row>
        <row r="33">
          <cell r="G33">
            <v>4.2</v>
          </cell>
          <cell r="H33">
            <v>4.5</v>
          </cell>
        </row>
        <row r="34">
          <cell r="G34">
            <v>3</v>
          </cell>
          <cell r="H34">
            <v>3</v>
          </cell>
        </row>
        <row r="35">
          <cell r="G35">
            <v>3</v>
          </cell>
          <cell r="H35">
            <v>3</v>
          </cell>
        </row>
        <row r="36">
          <cell r="G36">
            <v>3.6</v>
          </cell>
          <cell r="H36">
            <v>3.8</v>
          </cell>
        </row>
        <row r="37">
          <cell r="G37">
            <v>3.7</v>
          </cell>
          <cell r="H37">
            <v>4</v>
          </cell>
        </row>
        <row r="38">
          <cell r="G38">
            <v>4.4000000000000004</v>
          </cell>
          <cell r="H38">
            <v>4</v>
          </cell>
        </row>
        <row r="39">
          <cell r="G39">
            <v>3.8</v>
          </cell>
          <cell r="H39">
            <v>3.8</v>
          </cell>
        </row>
        <row r="40">
          <cell r="G40">
            <v>4.0999999999999996</v>
          </cell>
          <cell r="H40">
            <v>3.8</v>
          </cell>
        </row>
        <row r="41">
          <cell r="G41">
            <v>0</v>
          </cell>
          <cell r="H41">
            <v>3.3</v>
          </cell>
        </row>
        <row r="42">
          <cell r="G42">
            <v>5</v>
          </cell>
          <cell r="H42">
            <v>4.5</v>
          </cell>
        </row>
        <row r="43">
          <cell r="G43">
            <v>3.2</v>
          </cell>
          <cell r="H43">
            <v>3.3</v>
          </cell>
        </row>
        <row r="44">
          <cell r="G44">
            <v>3.8</v>
          </cell>
          <cell r="H44">
            <v>3.7</v>
          </cell>
        </row>
        <row r="45">
          <cell r="G45">
            <v>0</v>
          </cell>
          <cell r="H45">
            <v>4.3</v>
          </cell>
        </row>
        <row r="47">
          <cell r="G47">
            <v>0</v>
          </cell>
          <cell r="H47">
            <v>4.3</v>
          </cell>
        </row>
        <row r="48">
          <cell r="G48">
            <v>4.0999999999999996</v>
          </cell>
          <cell r="H48">
            <v>4.3</v>
          </cell>
        </row>
        <row r="49">
          <cell r="G49">
            <v>4</v>
          </cell>
          <cell r="H49">
            <v>3.5</v>
          </cell>
        </row>
        <row r="50">
          <cell r="G50">
            <v>3.8</v>
          </cell>
          <cell r="H50">
            <v>4</v>
          </cell>
        </row>
        <row r="51">
          <cell r="G51">
            <v>0</v>
          </cell>
          <cell r="H51">
            <v>4.5</v>
          </cell>
        </row>
        <row r="52">
          <cell r="G52">
            <v>3.7</v>
          </cell>
          <cell r="H52">
            <v>3.7</v>
          </cell>
        </row>
        <row r="53">
          <cell r="G53">
            <v>4</v>
          </cell>
          <cell r="H53">
            <v>3.5</v>
          </cell>
        </row>
        <row r="54">
          <cell r="G54">
            <v>4.4000000000000004</v>
          </cell>
          <cell r="H54">
            <v>4.5</v>
          </cell>
        </row>
        <row r="55">
          <cell r="G55">
            <v>5</v>
          </cell>
          <cell r="H55">
            <v>5</v>
          </cell>
        </row>
        <row r="56">
          <cell r="G56">
            <v>4.2</v>
          </cell>
          <cell r="H56">
            <v>3.7</v>
          </cell>
        </row>
        <row r="57">
          <cell r="G57">
            <v>3.3</v>
          </cell>
          <cell r="H57">
            <v>3.5</v>
          </cell>
        </row>
        <row r="59">
          <cell r="G59">
            <v>4</v>
          </cell>
          <cell r="H59">
            <v>4.3</v>
          </cell>
        </row>
        <row r="60">
          <cell r="G60">
            <v>3.3</v>
          </cell>
          <cell r="H60">
            <v>3.3</v>
          </cell>
        </row>
        <row r="61">
          <cell r="G61">
            <v>4.7</v>
          </cell>
          <cell r="H61">
            <v>4.7</v>
          </cell>
        </row>
        <row r="62">
          <cell r="G62">
            <v>4.3</v>
          </cell>
          <cell r="H62">
            <v>4.7</v>
          </cell>
        </row>
        <row r="63">
          <cell r="G63">
            <v>4.2</v>
          </cell>
          <cell r="H63">
            <v>4.2</v>
          </cell>
        </row>
        <row r="64">
          <cell r="G64">
            <v>2.1</v>
          </cell>
          <cell r="H64">
            <v>2.2999999999999998</v>
          </cell>
        </row>
        <row r="66">
          <cell r="G66">
            <v>0</v>
          </cell>
          <cell r="H66">
            <v>4</v>
          </cell>
        </row>
        <row r="67">
          <cell r="G67">
            <v>0</v>
          </cell>
          <cell r="H67">
            <v>3.2</v>
          </cell>
        </row>
        <row r="68">
          <cell r="G68">
            <v>3.6</v>
          </cell>
          <cell r="H68">
            <v>3</v>
          </cell>
        </row>
        <row r="70">
          <cell r="G70">
            <v>3.8</v>
          </cell>
          <cell r="H70">
            <v>3.7</v>
          </cell>
        </row>
        <row r="71">
          <cell r="G71">
            <v>0</v>
          </cell>
          <cell r="H71">
            <v>4.7</v>
          </cell>
        </row>
        <row r="72">
          <cell r="G72">
            <v>3.6</v>
          </cell>
          <cell r="H72">
            <v>3.3</v>
          </cell>
        </row>
        <row r="73">
          <cell r="G73">
            <v>4.5</v>
          </cell>
          <cell r="H73">
            <v>4.3</v>
          </cell>
        </row>
        <row r="74">
          <cell r="G74">
            <v>3.3</v>
          </cell>
          <cell r="H74">
            <v>3.2</v>
          </cell>
        </row>
        <row r="75">
          <cell r="G75">
            <v>4.5999999999999996</v>
          </cell>
          <cell r="H75">
            <v>4.2</v>
          </cell>
        </row>
        <row r="76">
          <cell r="G76">
            <v>4.5999999999999996</v>
          </cell>
          <cell r="H76">
            <v>4.3</v>
          </cell>
        </row>
        <row r="77">
          <cell r="G77">
            <v>4.3</v>
          </cell>
          <cell r="H77">
            <v>4.3</v>
          </cell>
        </row>
        <row r="78">
          <cell r="G78">
            <v>0</v>
          </cell>
          <cell r="H78">
            <v>3</v>
          </cell>
        </row>
        <row r="79">
          <cell r="G79">
            <v>3.7</v>
          </cell>
          <cell r="H79">
            <v>3.5</v>
          </cell>
        </row>
        <row r="80">
          <cell r="G80">
            <v>4</v>
          </cell>
          <cell r="H80">
            <v>4</v>
          </cell>
        </row>
        <row r="81">
          <cell r="G81">
            <v>4.5999999999999996</v>
          </cell>
          <cell r="H81">
            <v>4.5</v>
          </cell>
        </row>
        <row r="82">
          <cell r="G82">
            <v>4.2</v>
          </cell>
          <cell r="H82">
            <v>4.3</v>
          </cell>
        </row>
        <row r="83">
          <cell r="G83">
            <v>4</v>
          </cell>
          <cell r="H83">
            <v>3.8</v>
          </cell>
        </row>
        <row r="84">
          <cell r="G84">
            <v>3</v>
          </cell>
          <cell r="H84">
            <v>3</v>
          </cell>
        </row>
        <row r="85">
          <cell r="G85">
            <v>4</v>
          </cell>
          <cell r="H85">
            <v>3.8</v>
          </cell>
        </row>
        <row r="86">
          <cell r="G86">
            <v>4</v>
          </cell>
          <cell r="H86">
            <v>4</v>
          </cell>
        </row>
        <row r="87">
          <cell r="G87">
            <v>0</v>
          </cell>
          <cell r="H87">
            <v>4</v>
          </cell>
        </row>
        <row r="88">
          <cell r="G88">
            <v>4.8</v>
          </cell>
          <cell r="H88">
            <v>4.8</v>
          </cell>
        </row>
        <row r="89">
          <cell r="G89">
            <v>4.4000000000000004</v>
          </cell>
          <cell r="H89">
            <v>4.7</v>
          </cell>
        </row>
        <row r="90">
          <cell r="G90">
            <v>4.5</v>
          </cell>
          <cell r="H90">
            <v>4.8</v>
          </cell>
        </row>
        <row r="91">
          <cell r="G91">
            <v>4.0999999999999996</v>
          </cell>
          <cell r="H91">
            <v>4.3</v>
          </cell>
        </row>
        <row r="92">
          <cell r="G92">
            <v>5</v>
          </cell>
          <cell r="H92">
            <v>4.8</v>
          </cell>
        </row>
        <row r="93">
          <cell r="G93">
            <v>4</v>
          </cell>
          <cell r="H93">
            <v>4</v>
          </cell>
        </row>
        <row r="94">
          <cell r="G94">
            <v>2.9</v>
          </cell>
          <cell r="H94">
            <v>3</v>
          </cell>
        </row>
        <row r="95">
          <cell r="G95">
            <v>4.5</v>
          </cell>
          <cell r="H95">
            <v>4.5</v>
          </cell>
        </row>
        <row r="96">
          <cell r="G96">
            <v>0</v>
          </cell>
          <cell r="H96">
            <v>4.3</v>
          </cell>
        </row>
        <row r="97">
          <cell r="G97">
            <v>0</v>
          </cell>
          <cell r="H97">
            <v>3.5</v>
          </cell>
        </row>
        <row r="98">
          <cell r="G98">
            <v>0</v>
          </cell>
          <cell r="H98">
            <v>4.2</v>
          </cell>
        </row>
        <row r="99">
          <cell r="G99">
            <v>4</v>
          </cell>
          <cell r="H99">
            <v>4</v>
          </cell>
        </row>
        <row r="100">
          <cell r="G100">
            <v>3.8</v>
          </cell>
          <cell r="H100">
            <v>3.7</v>
          </cell>
        </row>
        <row r="101">
          <cell r="G101">
            <v>2.8</v>
          </cell>
          <cell r="H101">
            <v>2.7</v>
          </cell>
        </row>
        <row r="102">
          <cell r="G102">
            <v>4</v>
          </cell>
          <cell r="H102">
            <v>4</v>
          </cell>
        </row>
        <row r="103">
          <cell r="G103">
            <v>4.5</v>
          </cell>
          <cell r="H103">
            <v>4.7</v>
          </cell>
        </row>
        <row r="104">
          <cell r="G104">
            <v>4</v>
          </cell>
          <cell r="H104">
            <v>4</v>
          </cell>
        </row>
        <row r="105">
          <cell r="G105">
            <v>5</v>
          </cell>
          <cell r="H105">
            <v>5</v>
          </cell>
        </row>
        <row r="106">
          <cell r="G106">
            <v>4.8</v>
          </cell>
          <cell r="H106">
            <v>4.7</v>
          </cell>
        </row>
        <row r="107">
          <cell r="G107">
            <v>0</v>
          </cell>
          <cell r="H107">
            <v>3</v>
          </cell>
        </row>
        <row r="108">
          <cell r="G108">
            <v>4</v>
          </cell>
          <cell r="H108">
            <v>4</v>
          </cell>
        </row>
        <row r="109">
          <cell r="G109">
            <v>4.5</v>
          </cell>
          <cell r="H109">
            <v>4.3</v>
          </cell>
        </row>
        <row r="110">
          <cell r="G110">
            <v>4.8</v>
          </cell>
          <cell r="H110">
            <v>4.8</v>
          </cell>
        </row>
        <row r="111">
          <cell r="G111">
            <v>3.5</v>
          </cell>
          <cell r="H111">
            <v>3.7</v>
          </cell>
        </row>
        <row r="112">
          <cell r="G112">
            <v>4</v>
          </cell>
          <cell r="H112">
            <v>4.5</v>
          </cell>
        </row>
        <row r="113">
          <cell r="G113">
            <v>3.7</v>
          </cell>
          <cell r="H113">
            <v>4.3</v>
          </cell>
        </row>
        <row r="114">
          <cell r="G114">
            <v>4</v>
          </cell>
          <cell r="H114">
            <v>4</v>
          </cell>
        </row>
        <row r="115">
          <cell r="G115">
            <v>4.9000000000000004</v>
          </cell>
          <cell r="H115">
            <v>4.5</v>
          </cell>
        </row>
        <row r="116">
          <cell r="G116">
            <v>4.3</v>
          </cell>
          <cell r="H116">
            <v>4.5</v>
          </cell>
        </row>
        <row r="117">
          <cell r="G117">
            <v>4.2</v>
          </cell>
          <cell r="H117">
            <v>4.3</v>
          </cell>
        </row>
        <row r="118">
          <cell r="G118">
            <v>0</v>
          </cell>
          <cell r="H118">
            <v>3.5</v>
          </cell>
        </row>
        <row r="119">
          <cell r="G119">
            <v>4.3</v>
          </cell>
          <cell r="H119">
            <v>4</v>
          </cell>
        </row>
        <row r="120">
          <cell r="G120">
            <v>0</v>
          </cell>
          <cell r="H120">
            <v>4.7</v>
          </cell>
        </row>
      </sheetData>
      <sheetData sheetId="4">
        <row r="2">
          <cell r="G2">
            <v>5</v>
          </cell>
          <cell r="H2">
            <v>5</v>
          </cell>
        </row>
        <row r="3">
          <cell r="G3">
            <v>4.4000000000000004</v>
          </cell>
          <cell r="H3">
            <v>3.8</v>
          </cell>
        </row>
        <row r="4">
          <cell r="G4">
            <v>3.3</v>
          </cell>
          <cell r="H4">
            <v>3.8</v>
          </cell>
        </row>
        <row r="5">
          <cell r="G5">
            <v>4.8</v>
          </cell>
          <cell r="H5">
            <v>4.7</v>
          </cell>
        </row>
        <row r="6">
          <cell r="G6">
            <v>4</v>
          </cell>
          <cell r="H6">
            <v>4.3</v>
          </cell>
        </row>
        <row r="7">
          <cell r="G7">
            <v>5</v>
          </cell>
          <cell r="H7">
            <v>5</v>
          </cell>
        </row>
        <row r="8">
          <cell r="G8">
            <v>3.6</v>
          </cell>
          <cell r="H8">
            <v>4</v>
          </cell>
        </row>
        <row r="9">
          <cell r="G9">
            <v>4</v>
          </cell>
          <cell r="H9">
            <v>3.7</v>
          </cell>
        </row>
        <row r="10">
          <cell r="G10">
            <v>3.5</v>
          </cell>
          <cell r="H10">
            <v>3.5</v>
          </cell>
        </row>
        <row r="11">
          <cell r="G11">
            <v>4.3</v>
          </cell>
          <cell r="H11">
            <v>3.7</v>
          </cell>
        </row>
        <row r="12">
          <cell r="G12">
            <v>4</v>
          </cell>
          <cell r="H12">
            <v>4</v>
          </cell>
        </row>
        <row r="13">
          <cell r="G13">
            <v>4.5</v>
          </cell>
          <cell r="H13">
            <v>4</v>
          </cell>
        </row>
        <row r="14">
          <cell r="G14">
            <v>3.7</v>
          </cell>
          <cell r="H14">
            <v>3.8</v>
          </cell>
        </row>
        <row r="15">
          <cell r="G15">
            <v>4.4000000000000004</v>
          </cell>
          <cell r="H15">
            <v>4.3</v>
          </cell>
        </row>
        <row r="16">
          <cell r="G16">
            <v>4.7</v>
          </cell>
          <cell r="H16">
            <v>5</v>
          </cell>
        </row>
        <row r="18">
          <cell r="G18">
            <v>3.1</v>
          </cell>
          <cell r="H18">
            <v>3.7</v>
          </cell>
        </row>
        <row r="19">
          <cell r="G19">
            <v>3.8</v>
          </cell>
          <cell r="H19">
            <v>3.7</v>
          </cell>
        </row>
        <row r="20">
          <cell r="G20"/>
          <cell r="H20"/>
        </row>
        <row r="21">
          <cell r="G21">
            <v>3.6</v>
          </cell>
          <cell r="H21">
            <v>3.5</v>
          </cell>
        </row>
        <row r="22">
          <cell r="G22">
            <v>4.3</v>
          </cell>
          <cell r="H22">
            <v>4</v>
          </cell>
        </row>
        <row r="23">
          <cell r="G23">
            <v>4.7</v>
          </cell>
          <cell r="H23">
            <v>4.5</v>
          </cell>
        </row>
        <row r="24">
          <cell r="G24">
            <v>3</v>
          </cell>
          <cell r="H24">
            <v>3</v>
          </cell>
        </row>
        <row r="25">
          <cell r="G25">
            <v>4.5999999999999996</v>
          </cell>
          <cell r="H25">
            <v>4.7</v>
          </cell>
        </row>
        <row r="26">
          <cell r="G26">
            <v>4</v>
          </cell>
          <cell r="H26">
            <v>4</v>
          </cell>
        </row>
        <row r="27">
          <cell r="G27">
            <v>3.4</v>
          </cell>
          <cell r="H27">
            <v>3.8</v>
          </cell>
        </row>
        <row r="28">
          <cell r="G28">
            <v>5</v>
          </cell>
          <cell r="H28">
            <v>4.5</v>
          </cell>
        </row>
        <row r="29">
          <cell r="G29">
            <v>5</v>
          </cell>
          <cell r="H29">
            <v>4.8</v>
          </cell>
        </row>
        <row r="30">
          <cell r="G30">
            <v>3.1</v>
          </cell>
          <cell r="H30">
            <v>3.3</v>
          </cell>
        </row>
        <row r="31">
          <cell r="G31">
            <v>3.9</v>
          </cell>
          <cell r="H31">
            <v>3.8</v>
          </cell>
        </row>
        <row r="32">
          <cell r="G32">
            <v>3.9</v>
          </cell>
          <cell r="H32">
            <v>3.3</v>
          </cell>
        </row>
        <row r="33">
          <cell r="G33">
            <v>3.5</v>
          </cell>
          <cell r="H33">
            <v>3.3</v>
          </cell>
        </row>
        <row r="34">
          <cell r="G34">
            <v>4.2</v>
          </cell>
          <cell r="H34">
            <v>4.2</v>
          </cell>
        </row>
        <row r="35">
          <cell r="G35">
            <v>0</v>
          </cell>
          <cell r="H35">
            <v>4.3</v>
          </cell>
        </row>
        <row r="36">
          <cell r="G36">
            <v>3.6</v>
          </cell>
          <cell r="H36">
            <v>3.8</v>
          </cell>
        </row>
        <row r="37">
          <cell r="G37">
            <v>3.3</v>
          </cell>
          <cell r="H37">
            <v>3</v>
          </cell>
        </row>
        <row r="38">
          <cell r="G38">
            <v>3.2</v>
          </cell>
          <cell r="H38">
            <v>3.2</v>
          </cell>
        </row>
        <row r="39">
          <cell r="G39">
            <v>4.5999999999999996</v>
          </cell>
          <cell r="H39">
            <v>4.7</v>
          </cell>
        </row>
        <row r="40">
          <cell r="G40">
            <v>5</v>
          </cell>
          <cell r="H40">
            <v>5</v>
          </cell>
        </row>
        <row r="41">
          <cell r="G41">
            <v>3.3</v>
          </cell>
          <cell r="H41">
            <v>3.5</v>
          </cell>
        </row>
        <row r="42">
          <cell r="G42">
            <v>3.2</v>
          </cell>
          <cell r="H42">
            <v>3.8</v>
          </cell>
        </row>
        <row r="43">
          <cell r="G43">
            <v>3</v>
          </cell>
          <cell r="H43">
            <v>3</v>
          </cell>
        </row>
        <row r="44">
          <cell r="G44">
            <v>3.3</v>
          </cell>
          <cell r="H44">
            <v>3</v>
          </cell>
        </row>
        <row r="45">
          <cell r="G45">
            <v>4</v>
          </cell>
          <cell r="H45">
            <v>3.8</v>
          </cell>
        </row>
        <row r="46">
          <cell r="G46">
            <v>3.7</v>
          </cell>
          <cell r="H46">
            <v>3.8</v>
          </cell>
        </row>
        <row r="47">
          <cell r="G47">
            <v>4.5999999999999996</v>
          </cell>
          <cell r="H47">
            <v>4.7</v>
          </cell>
        </row>
        <row r="48">
          <cell r="G48">
            <v>4</v>
          </cell>
          <cell r="H48">
            <v>3.8</v>
          </cell>
        </row>
        <row r="49">
          <cell r="G49">
            <v>4.2</v>
          </cell>
          <cell r="H49">
            <v>4</v>
          </cell>
        </row>
        <row r="50">
          <cell r="G50">
            <v>4</v>
          </cell>
          <cell r="H50">
            <v>4</v>
          </cell>
        </row>
        <row r="51">
          <cell r="G51">
            <v>5</v>
          </cell>
          <cell r="H51">
            <v>5</v>
          </cell>
        </row>
        <row r="52">
          <cell r="G52">
            <v>5</v>
          </cell>
          <cell r="H52">
            <v>5</v>
          </cell>
        </row>
        <row r="53">
          <cell r="G53">
            <v>3.2</v>
          </cell>
          <cell r="H53">
            <v>4</v>
          </cell>
        </row>
        <row r="54">
          <cell r="G54">
            <v>3.6</v>
          </cell>
          <cell r="H54">
            <v>4</v>
          </cell>
        </row>
        <row r="55">
          <cell r="G55">
            <v>3</v>
          </cell>
          <cell r="H55">
            <v>3</v>
          </cell>
        </row>
        <row r="56">
          <cell r="G56">
            <v>3.6</v>
          </cell>
          <cell r="H56">
            <v>3.2</v>
          </cell>
        </row>
        <row r="57">
          <cell r="G57">
            <v>3.8</v>
          </cell>
          <cell r="H57">
            <v>4</v>
          </cell>
        </row>
        <row r="58">
          <cell r="G58">
            <v>4</v>
          </cell>
          <cell r="H58">
            <v>4</v>
          </cell>
        </row>
        <row r="59">
          <cell r="G59">
            <v>4</v>
          </cell>
          <cell r="H59">
            <v>4</v>
          </cell>
        </row>
        <row r="60">
          <cell r="G60">
            <v>3.8</v>
          </cell>
          <cell r="H60">
            <v>3.8</v>
          </cell>
        </row>
        <row r="61">
          <cell r="G61">
            <v>4.4000000000000004</v>
          </cell>
          <cell r="H61">
            <v>4.2</v>
          </cell>
        </row>
        <row r="62">
          <cell r="G62">
            <v>5</v>
          </cell>
          <cell r="H62">
            <v>5</v>
          </cell>
        </row>
        <row r="63">
          <cell r="G63"/>
          <cell r="H63"/>
        </row>
        <row r="64">
          <cell r="G64">
            <v>3.8</v>
          </cell>
          <cell r="H64">
            <v>3.7</v>
          </cell>
        </row>
        <row r="65">
          <cell r="G65">
            <v>5</v>
          </cell>
          <cell r="H65">
            <v>4.8</v>
          </cell>
        </row>
        <row r="66">
          <cell r="H66">
            <v>4.2</v>
          </cell>
        </row>
        <row r="67">
          <cell r="G67">
            <v>3.8</v>
          </cell>
          <cell r="H67">
            <v>3.7</v>
          </cell>
        </row>
        <row r="68">
          <cell r="G68">
            <v>3.5</v>
          </cell>
          <cell r="H68">
            <v>3.3</v>
          </cell>
        </row>
        <row r="69">
          <cell r="G69">
            <v>5</v>
          </cell>
          <cell r="H69">
            <v>5</v>
          </cell>
        </row>
        <row r="70">
          <cell r="G70">
            <v>5</v>
          </cell>
          <cell r="H70">
            <v>5</v>
          </cell>
        </row>
        <row r="71">
          <cell r="G71">
            <v>5</v>
          </cell>
          <cell r="H71">
            <v>5</v>
          </cell>
        </row>
        <row r="72">
          <cell r="G72">
            <v>3.8</v>
          </cell>
          <cell r="H72">
            <v>3.8</v>
          </cell>
        </row>
        <row r="73">
          <cell r="G73">
            <v>4</v>
          </cell>
          <cell r="H73">
            <v>0</v>
          </cell>
        </row>
        <row r="74">
          <cell r="G74">
            <v>3.8</v>
          </cell>
          <cell r="H74">
            <v>5</v>
          </cell>
        </row>
        <row r="75">
          <cell r="G75">
            <v>3</v>
          </cell>
          <cell r="H75">
            <v>3.3</v>
          </cell>
        </row>
        <row r="76">
          <cell r="G76">
            <v>3.8</v>
          </cell>
          <cell r="H76">
            <v>3.8</v>
          </cell>
        </row>
        <row r="77">
          <cell r="G77">
            <v>3.9</v>
          </cell>
          <cell r="H77">
            <v>3.7</v>
          </cell>
        </row>
        <row r="78">
          <cell r="G78">
            <v>3.4</v>
          </cell>
          <cell r="H78">
            <v>3.8</v>
          </cell>
        </row>
        <row r="79">
          <cell r="G79">
            <v>4.2</v>
          </cell>
          <cell r="H79">
            <v>4.7</v>
          </cell>
        </row>
        <row r="80">
          <cell r="G80">
            <v>4.3</v>
          </cell>
          <cell r="H80">
            <v>4.3</v>
          </cell>
        </row>
        <row r="81">
          <cell r="G81">
            <v>4.3</v>
          </cell>
          <cell r="H81">
            <v>4.2</v>
          </cell>
        </row>
        <row r="82">
          <cell r="G82">
            <v>3.2</v>
          </cell>
          <cell r="H82">
            <v>3.5</v>
          </cell>
        </row>
        <row r="83">
          <cell r="G83">
            <v>4</v>
          </cell>
          <cell r="H83">
            <v>3.8</v>
          </cell>
        </row>
        <row r="84">
          <cell r="G84">
            <v>4.7</v>
          </cell>
          <cell r="H84">
            <v>4</v>
          </cell>
        </row>
        <row r="85">
          <cell r="G85">
            <v>3.6</v>
          </cell>
          <cell r="H85">
            <v>3.7</v>
          </cell>
        </row>
        <row r="86">
          <cell r="G86">
            <v>4</v>
          </cell>
          <cell r="H86">
            <v>4</v>
          </cell>
        </row>
        <row r="87">
          <cell r="G87">
            <v>4.2</v>
          </cell>
          <cell r="H87">
            <v>4</v>
          </cell>
        </row>
        <row r="89">
          <cell r="G89">
            <v>4</v>
          </cell>
          <cell r="H89">
            <v>4</v>
          </cell>
        </row>
        <row r="90">
          <cell r="G90">
            <v>4.3</v>
          </cell>
          <cell r="H90">
            <v>4.3</v>
          </cell>
        </row>
        <row r="91">
          <cell r="G91">
            <v>4</v>
          </cell>
          <cell r="H91">
            <v>4</v>
          </cell>
        </row>
        <row r="92">
          <cell r="G92">
            <v>4.5999999999999996</v>
          </cell>
          <cell r="H92">
            <v>4.3</v>
          </cell>
        </row>
        <row r="93">
          <cell r="G93">
            <v>4</v>
          </cell>
          <cell r="H93">
            <v>3.8</v>
          </cell>
        </row>
        <row r="94">
          <cell r="G94">
            <v>4.8</v>
          </cell>
          <cell r="H94">
            <v>4.3</v>
          </cell>
        </row>
        <row r="95">
          <cell r="G95">
            <v>4.0999999999999996</v>
          </cell>
          <cell r="H95">
            <v>4.2</v>
          </cell>
        </row>
        <row r="96">
          <cell r="G96">
            <v>5</v>
          </cell>
          <cell r="H96">
            <v>5</v>
          </cell>
        </row>
        <row r="97">
          <cell r="G97">
            <v>4</v>
          </cell>
          <cell r="H97">
            <v>4.3</v>
          </cell>
        </row>
        <row r="98">
          <cell r="G98">
            <v>4</v>
          </cell>
          <cell r="H98">
            <v>4</v>
          </cell>
        </row>
        <row r="99">
          <cell r="G99">
            <v>3</v>
          </cell>
          <cell r="H99">
            <v>3</v>
          </cell>
        </row>
        <row r="100">
          <cell r="G100">
            <v>3.9</v>
          </cell>
          <cell r="H100">
            <v>3.7</v>
          </cell>
        </row>
        <row r="102">
          <cell r="G102">
            <v>4</v>
          </cell>
          <cell r="H102">
            <v>4</v>
          </cell>
        </row>
        <row r="103">
          <cell r="G103">
            <v>4</v>
          </cell>
          <cell r="H103">
            <v>4</v>
          </cell>
        </row>
        <row r="104">
          <cell r="G104">
            <v>3.9</v>
          </cell>
          <cell r="H104">
            <v>4</v>
          </cell>
        </row>
        <row r="105">
          <cell r="G105">
            <v>3</v>
          </cell>
          <cell r="H105">
            <v>3</v>
          </cell>
        </row>
        <row r="106">
          <cell r="G106">
            <v>3.8</v>
          </cell>
          <cell r="H106">
            <v>4</v>
          </cell>
        </row>
        <row r="107">
          <cell r="G107">
            <v>4.3</v>
          </cell>
          <cell r="H107">
            <v>4.3</v>
          </cell>
        </row>
        <row r="108">
          <cell r="G108">
            <v>2</v>
          </cell>
          <cell r="H108">
            <v>2</v>
          </cell>
        </row>
        <row r="109">
          <cell r="G109">
            <v>3.8</v>
          </cell>
          <cell r="H109">
            <v>3.8</v>
          </cell>
        </row>
        <row r="110">
          <cell r="G110">
            <v>4</v>
          </cell>
          <cell r="H110">
            <v>4</v>
          </cell>
        </row>
        <row r="111">
          <cell r="G111">
            <v>5</v>
          </cell>
          <cell r="H111">
            <v>4.7</v>
          </cell>
        </row>
        <row r="112">
          <cell r="G112"/>
          <cell r="H112"/>
        </row>
        <row r="114">
          <cell r="G114">
            <v>4.4000000000000004</v>
          </cell>
          <cell r="H114">
            <v>4.2</v>
          </cell>
        </row>
        <row r="115">
          <cell r="G115">
            <v>4.8</v>
          </cell>
          <cell r="H115">
            <v>4.7</v>
          </cell>
        </row>
        <row r="116">
          <cell r="G116">
            <v>4.5999999999999996</v>
          </cell>
          <cell r="H116">
            <v>5</v>
          </cell>
        </row>
        <row r="117">
          <cell r="G117">
            <v>4.5</v>
          </cell>
          <cell r="H117">
            <v>4.8</v>
          </cell>
        </row>
        <row r="118">
          <cell r="G118">
            <v>4.9000000000000004</v>
          </cell>
          <cell r="H118">
            <v>5</v>
          </cell>
        </row>
        <row r="119">
          <cell r="G119">
            <v>5</v>
          </cell>
          <cell r="H119">
            <v>4.7</v>
          </cell>
        </row>
        <row r="120">
          <cell r="G120">
            <v>3.8</v>
          </cell>
          <cell r="H120">
            <v>4</v>
          </cell>
        </row>
        <row r="121">
          <cell r="G121">
            <v>2.8</v>
          </cell>
          <cell r="H121">
            <v>3.5</v>
          </cell>
        </row>
        <row r="122">
          <cell r="G122">
            <v>4.7</v>
          </cell>
          <cell r="H122">
            <v>4.5</v>
          </cell>
        </row>
        <row r="123">
          <cell r="G123">
            <v>3.4</v>
          </cell>
          <cell r="H123">
            <v>3.3</v>
          </cell>
        </row>
        <row r="124">
          <cell r="G124">
            <v>4.0999999999999996</v>
          </cell>
          <cell r="H124">
            <v>4</v>
          </cell>
        </row>
        <row r="126">
          <cell r="G126">
            <v>4</v>
          </cell>
          <cell r="H126">
            <v>4</v>
          </cell>
        </row>
        <row r="127">
          <cell r="G127">
            <v>4</v>
          </cell>
          <cell r="H127">
            <v>3.8</v>
          </cell>
        </row>
        <row r="128">
          <cell r="G128">
            <v>4.3</v>
          </cell>
          <cell r="H128">
            <v>4</v>
          </cell>
        </row>
        <row r="129">
          <cell r="G129">
            <v>4</v>
          </cell>
          <cell r="H129">
            <v>3.7</v>
          </cell>
        </row>
        <row r="130">
          <cell r="G130">
            <v>4.3</v>
          </cell>
          <cell r="H130">
            <v>3.7</v>
          </cell>
        </row>
        <row r="131">
          <cell r="G131">
            <v>3.4</v>
          </cell>
          <cell r="H131">
            <v>3.5</v>
          </cell>
        </row>
        <row r="132">
          <cell r="G132">
            <v>4.8</v>
          </cell>
          <cell r="H132">
            <v>4.7</v>
          </cell>
        </row>
        <row r="133">
          <cell r="G133">
            <v>4</v>
          </cell>
          <cell r="H133">
            <v>4</v>
          </cell>
        </row>
        <row r="134">
          <cell r="G134">
            <v>4.4000000000000004</v>
          </cell>
          <cell r="H134">
            <v>4.8</v>
          </cell>
        </row>
        <row r="135">
          <cell r="G135">
            <v>4.3</v>
          </cell>
          <cell r="H135">
            <v>4.7</v>
          </cell>
        </row>
        <row r="136">
          <cell r="G136">
            <v>4.8</v>
          </cell>
          <cell r="H136">
            <v>4.7</v>
          </cell>
        </row>
        <row r="137">
          <cell r="G137">
            <v>3.5</v>
          </cell>
          <cell r="H137">
            <v>4.3</v>
          </cell>
        </row>
        <row r="138">
          <cell r="G138">
            <v>3</v>
          </cell>
          <cell r="H138">
            <v>3</v>
          </cell>
        </row>
        <row r="139">
          <cell r="G139">
            <v>4</v>
          </cell>
          <cell r="H139">
            <v>4.7</v>
          </cell>
        </row>
        <row r="141">
          <cell r="G141">
            <v>5</v>
          </cell>
          <cell r="H141">
            <v>5</v>
          </cell>
        </row>
        <row r="142">
          <cell r="G142">
            <v>4</v>
          </cell>
          <cell r="H142">
            <v>4</v>
          </cell>
        </row>
        <row r="143">
          <cell r="G143">
            <v>5</v>
          </cell>
          <cell r="H143">
            <v>5</v>
          </cell>
        </row>
        <row r="144">
          <cell r="G144">
            <v>3.7</v>
          </cell>
          <cell r="H144">
            <v>3.7</v>
          </cell>
        </row>
        <row r="145">
          <cell r="G145">
            <v>3.5</v>
          </cell>
          <cell r="H145">
            <v>2.8</v>
          </cell>
        </row>
        <row r="146">
          <cell r="G146">
            <v>5</v>
          </cell>
          <cell r="H146">
            <v>5</v>
          </cell>
        </row>
        <row r="147">
          <cell r="G147">
            <v>3.2</v>
          </cell>
          <cell r="H147">
            <v>4</v>
          </cell>
        </row>
        <row r="148">
          <cell r="G148">
            <v>4</v>
          </cell>
          <cell r="H148">
            <v>4</v>
          </cell>
        </row>
        <row r="149">
          <cell r="G149">
            <v>4</v>
          </cell>
          <cell r="H149">
            <v>4</v>
          </cell>
        </row>
        <row r="150">
          <cell r="G150">
            <v>4.3</v>
          </cell>
          <cell r="H150">
            <v>4.3</v>
          </cell>
        </row>
      </sheetData>
      <sheetData sheetId="5">
        <row r="2">
          <cell r="B2" t="str">
            <v>Abdulaziz Abdullah Abdulaziz Al Zehairi</v>
          </cell>
          <cell r="C2" t="str">
            <v>Riyadh</v>
          </cell>
          <cell r="D2" t="str">
            <v>Admin</v>
          </cell>
          <cell r="E2" t="str">
            <v>Runner Driver</v>
          </cell>
          <cell r="G2">
            <v>3</v>
          </cell>
          <cell r="H2">
            <v>4</v>
          </cell>
        </row>
        <row r="3">
          <cell r="B3" t="str">
            <v>Abdulaziz Obaid Meshan Alharbi</v>
          </cell>
          <cell r="C3" t="str">
            <v>Riyadh</v>
          </cell>
          <cell r="D3" t="str">
            <v>HR</v>
          </cell>
          <cell r="E3" t="str">
            <v>HR Executive</v>
          </cell>
          <cell r="G3">
            <v>3.4</v>
          </cell>
          <cell r="H3">
            <v>3.3</v>
          </cell>
        </row>
        <row r="4">
          <cell r="B4" t="str">
            <v xml:space="preserve">Abdulkader Abbasbhai Sukhsarwala </v>
          </cell>
          <cell r="C4" t="str">
            <v>Dubai</v>
          </cell>
          <cell r="D4" t="str">
            <v>Client Growth</v>
          </cell>
          <cell r="E4" t="str">
            <v>Senior Digital Yield Analyst</v>
          </cell>
          <cell r="G4">
            <v>4.5999999999999996</v>
          </cell>
          <cell r="H4">
            <v>4.8</v>
          </cell>
        </row>
        <row r="5">
          <cell r="B5" t="str">
            <v xml:space="preserve">George  George </v>
          </cell>
          <cell r="C5" t="str">
            <v>Dubai</v>
          </cell>
          <cell r="D5" t="str">
            <v>Finance</v>
          </cell>
          <cell r="E5" t="str">
            <v>Financial Controller-MMS</v>
          </cell>
          <cell r="G5">
            <v>4.8</v>
          </cell>
          <cell r="H5">
            <v>4.8</v>
          </cell>
        </row>
        <row r="6">
          <cell r="B6" t="str">
            <v>Abdullah Mohammed Abutaleb</v>
          </cell>
          <cell r="C6" t="str">
            <v>Riyadh</v>
          </cell>
          <cell r="D6" t="str">
            <v>Marketing</v>
          </cell>
          <cell r="E6" t="str">
            <v>Marketing Manager</v>
          </cell>
          <cell r="G6">
            <v>4.2</v>
          </cell>
          <cell r="H6">
            <v>4.2</v>
          </cell>
        </row>
        <row r="7">
          <cell r="B7" t="str">
            <v>Abir Kharsa</v>
          </cell>
          <cell r="C7" t="str">
            <v>Dubai</v>
          </cell>
          <cell r="D7" t="str">
            <v>Traffic</v>
          </cell>
          <cell r="E7" t="str">
            <v>Senior Traffic Executive</v>
          </cell>
          <cell r="G7">
            <v>5</v>
          </cell>
          <cell r="H7">
            <v>5</v>
          </cell>
        </row>
        <row r="8">
          <cell r="B8" t="str">
            <v>Adel Mohamed Adeeb Abou Elnasr Mohamed</v>
          </cell>
          <cell r="C8" t="str">
            <v>Cairo</v>
          </cell>
          <cell r="D8" t="str">
            <v>Agency Partnerships</v>
          </cell>
          <cell r="E8" t="str">
            <v>Client Service Senior Supervisor</v>
          </cell>
          <cell r="G8">
            <v>4</v>
          </cell>
          <cell r="H8">
            <v>3.8</v>
          </cell>
        </row>
        <row r="9">
          <cell r="B9" t="str">
            <v>Adriana Nicolas Khater Verdin</v>
          </cell>
          <cell r="C9" t="str">
            <v>Dubai</v>
          </cell>
          <cell r="D9" t="str">
            <v>Content Solutions</v>
          </cell>
          <cell r="E9" t="str">
            <v>Content Solutions Senior Executive</v>
          </cell>
          <cell r="G9">
            <v>4</v>
          </cell>
          <cell r="H9">
            <v>4</v>
          </cell>
        </row>
        <row r="10">
          <cell r="B10" t="str">
            <v xml:space="preserve">Ahmed  M M Omran </v>
          </cell>
          <cell r="C10" t="str">
            <v>Dubai</v>
          </cell>
          <cell r="D10" t="str">
            <v>Traffic</v>
          </cell>
          <cell r="E10" t="str">
            <v>Senior Traffic Manager</v>
          </cell>
          <cell r="G10">
            <v>4.8</v>
          </cell>
          <cell r="H10">
            <v>4.7</v>
          </cell>
        </row>
        <row r="11">
          <cell r="B11" t="str">
            <v>Ahmed abdelhady  abdelhady mohamed Elshorbagy</v>
          </cell>
          <cell r="C11" t="str">
            <v>Cairo</v>
          </cell>
          <cell r="D11" t="str">
            <v>Agency Partnerships</v>
          </cell>
          <cell r="E11" t="str">
            <v>Sales Supervisor</v>
          </cell>
          <cell r="G11">
            <v>3.5</v>
          </cell>
          <cell r="H11">
            <v>4</v>
          </cell>
        </row>
        <row r="12">
          <cell r="B12" t="str">
            <v xml:space="preserve">Jyoti Kanda </v>
          </cell>
          <cell r="C12" t="str">
            <v>Dubai</v>
          </cell>
          <cell r="D12" t="str">
            <v>Finance</v>
          </cell>
          <cell r="E12" t="str">
            <v>Director of Commercial Finance</v>
          </cell>
          <cell r="G12">
            <v>4.7</v>
          </cell>
          <cell r="H12">
            <v>4.7</v>
          </cell>
        </row>
        <row r="13">
          <cell r="B13" t="str">
            <v>Ahmed Hamed Ibrahim kamel</v>
          </cell>
          <cell r="C13" t="str">
            <v>Cairo</v>
          </cell>
          <cell r="D13" t="str">
            <v>Agency Partnerships</v>
          </cell>
          <cell r="E13" t="str">
            <v>Sales Director</v>
          </cell>
          <cell r="G13">
            <v>4.5</v>
          </cell>
          <cell r="H13">
            <v>3.7</v>
          </cell>
        </row>
        <row r="14">
          <cell r="B14" t="str">
            <v>Minhal Ali</v>
          </cell>
          <cell r="C14" t="str">
            <v>Dubai</v>
          </cell>
          <cell r="D14" t="str">
            <v>Finance</v>
          </cell>
          <cell r="E14" t="str">
            <v>Finance Supervisor-MMS</v>
          </cell>
          <cell r="G14">
            <v>4.4000000000000004</v>
          </cell>
          <cell r="H14">
            <v>5</v>
          </cell>
        </row>
        <row r="15">
          <cell r="B15" t="str">
            <v xml:space="preserve">Salem  Khader  Masood </v>
          </cell>
          <cell r="C15" t="str">
            <v>Dubai</v>
          </cell>
          <cell r="D15" t="str">
            <v>Finance</v>
          </cell>
          <cell r="E15" t="str">
            <v>Senior Finance Manager-MMS</v>
          </cell>
          <cell r="G15">
            <v>4.5999999999999996</v>
          </cell>
          <cell r="H15">
            <v>4.8</v>
          </cell>
        </row>
        <row r="16">
          <cell r="B16" t="str">
            <v>Ahmed Mohammed Eldabbagh</v>
          </cell>
          <cell r="C16" t="str">
            <v>Riyadh</v>
          </cell>
          <cell r="D16" t="str">
            <v>Research</v>
          </cell>
          <cell r="E16" t="str">
            <v>Integrated Planning Senior Executive</v>
          </cell>
          <cell r="G16">
            <v>4</v>
          </cell>
          <cell r="H16">
            <v>4</v>
          </cell>
        </row>
        <row r="17">
          <cell r="B17" t="str">
            <v>Ahmed Mostafa Ghonemy Mostafa</v>
          </cell>
          <cell r="C17" t="str">
            <v>Cairo</v>
          </cell>
          <cell r="D17" t="str">
            <v>Traffic</v>
          </cell>
          <cell r="E17" t="str">
            <v>Traffic Supervisor</v>
          </cell>
          <cell r="G17">
            <v>3.8</v>
          </cell>
          <cell r="H17">
            <v>4</v>
          </cell>
        </row>
        <row r="18">
          <cell r="B18" t="str">
            <v>Ahmed Tawfek Mahmoud Alasyouty</v>
          </cell>
          <cell r="C18" t="str">
            <v>Cairo</v>
          </cell>
          <cell r="D18" t="str">
            <v>Traffic</v>
          </cell>
          <cell r="E18" t="str">
            <v>Assistant Manager - Traffic</v>
          </cell>
          <cell r="G18">
            <v>3.7</v>
          </cell>
          <cell r="H18">
            <v>3.8</v>
          </cell>
        </row>
        <row r="19">
          <cell r="B19" t="str">
            <v>Al Shaimaa Mohamed Mohamed Sadek Alshoura</v>
          </cell>
          <cell r="C19" t="str">
            <v>Cairo</v>
          </cell>
          <cell r="D19" t="str">
            <v>HR</v>
          </cell>
          <cell r="E19" t="str">
            <v>HR Manager</v>
          </cell>
          <cell r="G19">
            <v>4.5999999999999996</v>
          </cell>
          <cell r="H19">
            <v>5</v>
          </cell>
        </row>
        <row r="20">
          <cell r="B20" t="str">
            <v>Alaa Mohamed Ahmed Aboelenin Zaghloul</v>
          </cell>
          <cell r="C20" t="str">
            <v>Cairo</v>
          </cell>
          <cell r="D20" t="str">
            <v>Agency Partnerships</v>
          </cell>
          <cell r="E20" t="str">
            <v>Client Service Executive</v>
          </cell>
          <cell r="G20">
            <v>3</v>
          </cell>
          <cell r="H20">
            <v>3.3</v>
          </cell>
        </row>
        <row r="21">
          <cell r="B21" t="str">
            <v>Alaa Mohamed Aly</v>
          </cell>
          <cell r="C21" t="str">
            <v>Cairo</v>
          </cell>
          <cell r="D21" t="str">
            <v>Admin</v>
          </cell>
          <cell r="E21" t="str">
            <v>Office Manager</v>
          </cell>
          <cell r="G21">
            <v>3.6</v>
          </cell>
          <cell r="H21">
            <v>3.7</v>
          </cell>
        </row>
        <row r="22">
          <cell r="B22" t="str">
            <v>Alaaeldin Eid ahmed Fadl</v>
          </cell>
          <cell r="C22" t="str">
            <v>Cairo</v>
          </cell>
          <cell r="D22" t="str">
            <v>Admin</v>
          </cell>
          <cell r="E22" t="str">
            <v>Office Boy</v>
          </cell>
          <cell r="G22">
            <v>3.5</v>
          </cell>
          <cell r="H22">
            <v>3.2</v>
          </cell>
        </row>
        <row r="23">
          <cell r="B23" t="str">
            <v>Alanoud Waleed Muhammed Almadi</v>
          </cell>
          <cell r="C23" t="str">
            <v>Riyadh</v>
          </cell>
          <cell r="D23" t="str">
            <v>Client Growth</v>
          </cell>
          <cell r="E23" t="str">
            <v>Client Growth Senior Executive</v>
          </cell>
          <cell r="G23">
            <v>4.7</v>
          </cell>
          <cell r="H23">
            <v>4.8</v>
          </cell>
        </row>
        <row r="24">
          <cell r="B24" t="str">
            <v>Ali Imad Younes</v>
          </cell>
          <cell r="C24" t="str">
            <v>Dubai</v>
          </cell>
          <cell r="D24" t="str">
            <v>Content Solutions</v>
          </cell>
          <cell r="E24" t="str">
            <v>Content Solutions Senior Executive</v>
          </cell>
          <cell r="G24">
            <v>4.8</v>
          </cell>
          <cell r="H24">
            <v>4.3</v>
          </cell>
        </row>
        <row r="25">
          <cell r="B25" t="str">
            <v>Ali Salam Ahmed Ahmed</v>
          </cell>
          <cell r="C25" t="str">
            <v>Dubai</v>
          </cell>
          <cell r="D25" t="str">
            <v>Client Growth</v>
          </cell>
          <cell r="E25" t="str">
            <v>Client Growth Lead</v>
          </cell>
          <cell r="G25">
            <v>5</v>
          </cell>
          <cell r="H25">
            <v>5</v>
          </cell>
        </row>
        <row r="26">
          <cell r="B26" t="str">
            <v>Alsayed Abo Bakr Abdelhay Abdullah</v>
          </cell>
          <cell r="C26" t="str">
            <v>Cairo</v>
          </cell>
          <cell r="D26" t="str">
            <v>Traffic</v>
          </cell>
          <cell r="E26" t="str">
            <v>Traffic Supervisor</v>
          </cell>
          <cell r="G26">
            <v>3.7</v>
          </cell>
          <cell r="H26">
            <v>4</v>
          </cell>
        </row>
        <row r="27">
          <cell r="B27" t="str">
            <v>Amira Mohamed Ali Soliman Soltan</v>
          </cell>
          <cell r="C27" t="str">
            <v>Cairo</v>
          </cell>
          <cell r="D27" t="str">
            <v>Agency Partnerships</v>
          </cell>
          <cell r="E27" t="str">
            <v>Sales Manager</v>
          </cell>
          <cell r="G27">
            <v>4</v>
          </cell>
          <cell r="H27">
            <v>4</v>
          </cell>
        </row>
        <row r="28">
          <cell r="B28" t="str">
            <v>Ammar Sami Hassan Subki</v>
          </cell>
          <cell r="C28" t="str">
            <v>Riyadh</v>
          </cell>
          <cell r="D28" t="str">
            <v>HR</v>
          </cell>
          <cell r="E28" t="str">
            <v>Head of HR and Admin Services</v>
          </cell>
          <cell r="G28">
            <v>4.7</v>
          </cell>
          <cell r="H28">
            <v>4.8</v>
          </cell>
        </row>
        <row r="29">
          <cell r="B29" t="str">
            <v>Amr Reda Amer Ghoniem</v>
          </cell>
          <cell r="C29" t="str">
            <v>Cairo</v>
          </cell>
          <cell r="D29" t="str">
            <v>Admin</v>
          </cell>
          <cell r="E29" t="str">
            <v>Office Boy</v>
          </cell>
          <cell r="G29">
            <v>3</v>
          </cell>
          <cell r="H29">
            <v>3</v>
          </cell>
        </row>
        <row r="30">
          <cell r="B30" t="str">
            <v xml:space="preserve">Angelica Villena </v>
          </cell>
          <cell r="C30" t="str">
            <v>Dubai</v>
          </cell>
          <cell r="D30" t="str">
            <v>Traffic</v>
          </cell>
          <cell r="E30" t="str">
            <v>Senior Traffic Operations</v>
          </cell>
          <cell r="G30">
            <v>4.9000000000000004</v>
          </cell>
          <cell r="H30">
            <v>4.8</v>
          </cell>
        </row>
        <row r="31">
          <cell r="B31" t="str">
            <v xml:space="preserve">Arlene Belleza Patrimonio </v>
          </cell>
          <cell r="C31" t="str">
            <v>Dubai</v>
          </cell>
          <cell r="D31" t="str">
            <v>Traffic</v>
          </cell>
          <cell r="E31" t="str">
            <v>Senior Traffic Executive</v>
          </cell>
          <cell r="G31">
            <v>3.8</v>
          </cell>
          <cell r="H31">
            <v>3.8</v>
          </cell>
        </row>
        <row r="32">
          <cell r="B32" t="str">
            <v>Assaad Boujawdeh</v>
          </cell>
          <cell r="C32" t="str">
            <v>Riyadh</v>
          </cell>
          <cell r="D32" t="str">
            <v>Client Growth</v>
          </cell>
          <cell r="E32" t="str">
            <v>Client Growth Senior Manager</v>
          </cell>
          <cell r="G32">
            <v>3.1</v>
          </cell>
          <cell r="H32">
            <v>3.8</v>
          </cell>
        </row>
        <row r="33">
          <cell r="B33" t="str">
            <v>Cecille Ponsica Mago</v>
          </cell>
          <cell r="C33" t="str">
            <v>Dubai</v>
          </cell>
          <cell r="D33" t="str">
            <v>Admin</v>
          </cell>
          <cell r="E33" t="str">
            <v>Office Attendant</v>
          </cell>
          <cell r="G33">
            <v>0</v>
          </cell>
          <cell r="H33">
            <v>4.2</v>
          </cell>
        </row>
        <row r="34">
          <cell r="B34" t="str">
            <v>Chorouk Hassan Khoudari</v>
          </cell>
          <cell r="C34" t="str">
            <v>Dubai</v>
          </cell>
          <cell r="D34" t="str">
            <v>Research</v>
          </cell>
          <cell r="E34" t="str">
            <v>Research &amp; Measurement Senior Manager</v>
          </cell>
          <cell r="G34">
            <v>4</v>
          </cell>
          <cell r="H34">
            <v>4</v>
          </cell>
        </row>
        <row r="35">
          <cell r="B35" t="str">
            <v xml:space="preserve">Claire Kabbani </v>
          </cell>
          <cell r="C35" t="str">
            <v>Dubai</v>
          </cell>
          <cell r="D35" t="str">
            <v>Client Growth</v>
          </cell>
          <cell r="E35" t="str">
            <v>Client Growth Manager</v>
          </cell>
          <cell r="G35">
            <v>5</v>
          </cell>
        </row>
        <row r="36">
          <cell r="B36" t="str">
            <v>Clifford Issac Nicholas Joseph</v>
          </cell>
          <cell r="C36" t="str">
            <v>Dubai</v>
          </cell>
          <cell r="D36" t="str">
            <v>Traffic</v>
          </cell>
          <cell r="E36" t="str">
            <v>Senior Traffic Executive - Digital</v>
          </cell>
          <cell r="G36">
            <v>4</v>
          </cell>
          <cell r="H36">
            <v>3.8</v>
          </cell>
        </row>
        <row r="37">
          <cell r="B37" t="str">
            <v>Dana Reda Rasmy Boraey</v>
          </cell>
          <cell r="C37" t="str">
            <v>Dubai</v>
          </cell>
          <cell r="D37" t="str">
            <v>Client Growth</v>
          </cell>
          <cell r="E37" t="str">
            <v>Client Growth Executive</v>
          </cell>
          <cell r="G37">
            <v>3.8</v>
          </cell>
          <cell r="H37">
            <v>4</v>
          </cell>
        </row>
        <row r="38">
          <cell r="B38" t="str">
            <v>Dana Tfaili</v>
          </cell>
          <cell r="C38" t="str">
            <v>Dubai</v>
          </cell>
          <cell r="D38" t="str">
            <v>Content Solutions</v>
          </cell>
          <cell r="E38" t="str">
            <v>Content Solutions Manager</v>
          </cell>
          <cell r="G38">
            <v>3.5</v>
          </cell>
          <cell r="H38">
            <v>3.2</v>
          </cell>
        </row>
        <row r="39">
          <cell r="B39" t="str">
            <v>Diana Soukar</v>
          </cell>
          <cell r="C39" t="str">
            <v>Riyadh</v>
          </cell>
          <cell r="D39" t="str">
            <v>Research</v>
          </cell>
          <cell r="E39" t="str">
            <v xml:space="preserve">Audience Strategy Manager </v>
          </cell>
          <cell r="G39">
            <v>0</v>
          </cell>
          <cell r="H39">
            <v>4</v>
          </cell>
        </row>
        <row r="40">
          <cell r="B40" t="str">
            <v>Dina Anwar</v>
          </cell>
          <cell r="C40" t="str">
            <v>Cairo</v>
          </cell>
          <cell r="D40" t="str">
            <v>Admin</v>
          </cell>
          <cell r="E40" t="str">
            <v>Admin Assistant</v>
          </cell>
          <cell r="G40">
            <v>3.2</v>
          </cell>
          <cell r="H40">
            <v>3.3</v>
          </cell>
        </row>
        <row r="41">
          <cell r="B41" t="str">
            <v>Donna Liza Rabago Aurelio</v>
          </cell>
          <cell r="C41" t="str">
            <v>Dubai</v>
          </cell>
          <cell r="D41" t="str">
            <v>Traffic</v>
          </cell>
          <cell r="E41" t="str">
            <v>Traffic Operations</v>
          </cell>
          <cell r="G41">
            <v>3.6</v>
          </cell>
          <cell r="H41">
            <v>4</v>
          </cell>
        </row>
        <row r="42">
          <cell r="B42" t="str">
            <v>Elaf Khalid Almane</v>
          </cell>
          <cell r="C42" t="str">
            <v>Riyadh</v>
          </cell>
          <cell r="D42" t="str">
            <v>Client Growth</v>
          </cell>
          <cell r="E42" t="str">
            <v>Client Growth Senior Executive</v>
          </cell>
          <cell r="G42">
            <v>4.8</v>
          </cell>
          <cell r="H42">
            <v>4.7</v>
          </cell>
        </row>
        <row r="43">
          <cell r="B43" t="str">
            <v>Elie Tanios Raad</v>
          </cell>
          <cell r="C43" t="str">
            <v>Dubai</v>
          </cell>
          <cell r="D43" t="str">
            <v>Content Solutions</v>
          </cell>
          <cell r="E43" t="str">
            <v>Content Solutions Director</v>
          </cell>
          <cell r="G43">
            <v>3.8</v>
          </cell>
          <cell r="H43">
            <v>3.8</v>
          </cell>
        </row>
        <row r="44">
          <cell r="B44" t="str">
            <v>Elio Souheil Khoury</v>
          </cell>
          <cell r="C44" t="str">
            <v>Dubai</v>
          </cell>
          <cell r="D44" t="str">
            <v>Client Growth</v>
          </cell>
          <cell r="E44" t="str">
            <v>Self Serve Manager</v>
          </cell>
          <cell r="G44">
            <v>3.4</v>
          </cell>
          <cell r="H44">
            <v>3.7</v>
          </cell>
        </row>
        <row r="45">
          <cell r="B45" t="str">
            <v>Eslam Emad Mohamed Ahmed Elfouly</v>
          </cell>
          <cell r="C45" t="str">
            <v>Cairo</v>
          </cell>
          <cell r="D45" t="str">
            <v>Agency Partnerships</v>
          </cell>
          <cell r="E45" t="str">
            <v>Client Service Senior Supervisor</v>
          </cell>
          <cell r="G45">
            <v>3.8</v>
          </cell>
          <cell r="H45">
            <v>3.5</v>
          </cell>
        </row>
        <row r="46">
          <cell r="B46" t="str">
            <v>Meera Merlyn  D'Souza</v>
          </cell>
          <cell r="C46" t="str">
            <v>Dubai</v>
          </cell>
          <cell r="D46" t="str">
            <v>Finance</v>
          </cell>
          <cell r="E46" t="str">
            <v>Senior Accountant-MMS</v>
          </cell>
          <cell r="G46">
            <v>4.5</v>
          </cell>
          <cell r="H46">
            <v>4.8</v>
          </cell>
        </row>
        <row r="47">
          <cell r="B47" t="str">
            <v>Fadwa Mahmoud Abdelsamad abdelgelel</v>
          </cell>
          <cell r="C47" t="str">
            <v>Cairo</v>
          </cell>
          <cell r="D47" t="str">
            <v>Agency Partnerships</v>
          </cell>
          <cell r="E47" t="str">
            <v>Client Service Executive</v>
          </cell>
          <cell r="G47">
            <v>4.3</v>
          </cell>
          <cell r="H47">
            <v>4</v>
          </cell>
        </row>
        <row r="48">
          <cell r="B48" t="str">
            <v>Fahad Ali Saad Aldosaree</v>
          </cell>
          <cell r="C48" t="str">
            <v>Riyadh</v>
          </cell>
          <cell r="D48" t="str">
            <v>Client Growth</v>
          </cell>
          <cell r="E48" t="str">
            <v>Client Growth Director</v>
          </cell>
          <cell r="G48"/>
          <cell r="H48"/>
        </row>
        <row r="49">
          <cell r="B49" t="str">
            <v>Faisal Hamdan Shreda Alanazi</v>
          </cell>
          <cell r="C49" t="str">
            <v>Riyadh</v>
          </cell>
          <cell r="D49" t="str">
            <v>Client Growth</v>
          </cell>
          <cell r="E49" t="str">
            <v>Client Growth Senior Executive</v>
          </cell>
          <cell r="G49">
            <v>4.9000000000000004</v>
          </cell>
          <cell r="H49">
            <v>4.5</v>
          </cell>
        </row>
        <row r="50">
          <cell r="B50" t="str">
            <v>Melody Noblejas</v>
          </cell>
          <cell r="C50" t="str">
            <v>Dubai</v>
          </cell>
          <cell r="D50" t="str">
            <v>Finance</v>
          </cell>
          <cell r="E50" t="str">
            <v>Finance Supervisor-MMS</v>
          </cell>
          <cell r="G50">
            <v>4.3</v>
          </cell>
          <cell r="H50">
            <v>5</v>
          </cell>
        </row>
        <row r="51">
          <cell r="B51" t="str">
            <v>Fatema karim Ashraf Ali Mahgoub</v>
          </cell>
          <cell r="C51" t="str">
            <v>Cairo</v>
          </cell>
          <cell r="D51" t="str">
            <v>Agency Partnerships</v>
          </cell>
          <cell r="E51" t="str">
            <v>Client Service Executive</v>
          </cell>
          <cell r="G51">
            <v>3.8</v>
          </cell>
          <cell r="H51">
            <v>4.2</v>
          </cell>
        </row>
        <row r="52">
          <cell r="B52" t="str">
            <v>Fathy Salaheldin Nasr khedr</v>
          </cell>
          <cell r="C52" t="str">
            <v>Cairo</v>
          </cell>
          <cell r="D52" t="str">
            <v>Admin</v>
          </cell>
          <cell r="E52" t="str">
            <v>Office Boy</v>
          </cell>
          <cell r="G52">
            <v>3.3</v>
          </cell>
          <cell r="H52">
            <v>3</v>
          </cell>
        </row>
        <row r="53">
          <cell r="B53" t="str">
            <v>Fatima Salem Aljabri</v>
          </cell>
          <cell r="C53" t="str">
            <v>Riyadh</v>
          </cell>
          <cell r="D53" t="str">
            <v>Marketing</v>
          </cell>
          <cell r="E53" t="str">
            <v>Marketing and PR Senior Executive</v>
          </cell>
          <cell r="G53">
            <v>5</v>
          </cell>
          <cell r="H53">
            <v>4.3</v>
          </cell>
        </row>
        <row r="54">
          <cell r="B54" t="str">
            <v xml:space="preserve">Febina  Badarudheen </v>
          </cell>
          <cell r="C54" t="str">
            <v>Dubai</v>
          </cell>
          <cell r="D54" t="str">
            <v>Traffic</v>
          </cell>
          <cell r="E54" t="str">
            <v>Senior Traffic Executive</v>
          </cell>
          <cell r="G54">
            <v>3.6</v>
          </cell>
          <cell r="H54">
            <v>3.7</v>
          </cell>
        </row>
        <row r="55">
          <cell r="B55" t="str">
            <v>Firas Said Bou Antoun</v>
          </cell>
          <cell r="C55" t="str">
            <v>Riyadh</v>
          </cell>
          <cell r="D55" t="str">
            <v>Client Growth</v>
          </cell>
          <cell r="E55" t="str">
            <v>Client Growth Manager</v>
          </cell>
          <cell r="G55">
            <v>4.0999999999999996</v>
          </cell>
          <cell r="H55">
            <v>4.3</v>
          </cell>
        </row>
        <row r="56">
          <cell r="B56" t="str">
            <v>Fouad Mohammed Debouk</v>
          </cell>
          <cell r="C56" t="str">
            <v>Riyadh</v>
          </cell>
          <cell r="D56" t="str">
            <v>Client Growth</v>
          </cell>
          <cell r="E56" t="str">
            <v>Audio Growth Senior Manager</v>
          </cell>
          <cell r="G56">
            <v>4.3</v>
          </cell>
          <cell r="H56">
            <v>3.8</v>
          </cell>
        </row>
        <row r="57">
          <cell r="B57" t="str">
            <v>Galaleldin Oraby Ahmed Ghanem</v>
          </cell>
          <cell r="C57" t="str">
            <v>Cairo</v>
          </cell>
          <cell r="D57" t="str">
            <v>Agency Partnerships</v>
          </cell>
          <cell r="E57" t="str">
            <v>Digital Sales Director</v>
          </cell>
          <cell r="G57">
            <v>4</v>
          </cell>
          <cell r="H57">
            <v>4</v>
          </cell>
        </row>
        <row r="58">
          <cell r="B58" t="str">
            <v>Ahmed Mohamed Samir Abdelaziz Alazrak</v>
          </cell>
          <cell r="C58" t="str">
            <v>Dubai</v>
          </cell>
          <cell r="D58" t="str">
            <v>Finance</v>
          </cell>
          <cell r="E58" t="str">
            <v>Treasury Supervisor</v>
          </cell>
          <cell r="G58">
            <v>4.9000000000000004</v>
          </cell>
          <cell r="H58">
            <v>4.3</v>
          </cell>
        </row>
        <row r="59">
          <cell r="B59" t="str">
            <v>Ghadeer Youssef Hamed Alharthi</v>
          </cell>
          <cell r="C59" t="str">
            <v>Riyadh</v>
          </cell>
          <cell r="D59" t="str">
            <v>Admin</v>
          </cell>
          <cell r="E59" t="str">
            <v>Admin Assistant-MMS</v>
          </cell>
          <cell r="G59">
            <v>3.3</v>
          </cell>
          <cell r="H59">
            <v>3.5</v>
          </cell>
        </row>
        <row r="60">
          <cell r="B60" t="str">
            <v xml:space="preserve">Ghaith Elsayed </v>
          </cell>
          <cell r="C60" t="str">
            <v>Dubai</v>
          </cell>
          <cell r="D60" t="str">
            <v>Finance</v>
          </cell>
          <cell r="E60" t="str">
            <v>Finance Supervisor-MMS</v>
          </cell>
          <cell r="G60">
            <v>4</v>
          </cell>
          <cell r="H60">
            <v>4.8</v>
          </cell>
        </row>
        <row r="61">
          <cell r="B61" t="str">
            <v>Ghala Abdulrahman Alotaibi</v>
          </cell>
          <cell r="C61" t="str">
            <v>Riyadh</v>
          </cell>
          <cell r="D61" t="str">
            <v>Client Growth</v>
          </cell>
          <cell r="E61" t="str">
            <v>Shahid Growth Senior Executive</v>
          </cell>
          <cell r="G61">
            <v>4</v>
          </cell>
          <cell r="H61">
            <v>4.2</v>
          </cell>
        </row>
        <row r="62">
          <cell r="B62" t="str">
            <v>Ghalia Abdulelah Saleh Harandah</v>
          </cell>
          <cell r="C62" t="str">
            <v>Riyadh</v>
          </cell>
          <cell r="D62" t="str">
            <v>Marketing</v>
          </cell>
          <cell r="E62" t="str">
            <v>Senior Executive- Graphic Designer-MMS</v>
          </cell>
          <cell r="G62">
            <v>5</v>
          </cell>
          <cell r="H62">
            <v>5</v>
          </cell>
        </row>
        <row r="63">
          <cell r="B63" t="str">
            <v>Ghida Jihad Salem El Husseini</v>
          </cell>
          <cell r="C63" t="str">
            <v>Dubai</v>
          </cell>
          <cell r="D63" t="str">
            <v>Client Growth</v>
          </cell>
          <cell r="E63" t="str">
            <v>Shahid Growth Manager</v>
          </cell>
          <cell r="G63">
            <v>4</v>
          </cell>
          <cell r="H63">
            <v>4</v>
          </cell>
        </row>
        <row r="64">
          <cell r="B64" t="str">
            <v>Hamad Abdullah Hamad Alhumaid</v>
          </cell>
          <cell r="C64" t="str">
            <v>Riyadh</v>
          </cell>
          <cell r="D64" t="str">
            <v>Client Growth</v>
          </cell>
          <cell r="E64" t="str">
            <v>Client Growth Associate Director</v>
          </cell>
          <cell r="G64">
            <v>4.8</v>
          </cell>
          <cell r="H64">
            <v>4.8</v>
          </cell>
        </row>
        <row r="65">
          <cell r="B65" t="str">
            <v>Hani Hashem Taha</v>
          </cell>
          <cell r="C65" t="str">
            <v>Riyadh</v>
          </cell>
          <cell r="D65" t="str">
            <v>Client Growth</v>
          </cell>
          <cell r="E65" t="str">
            <v>Shahid Growth Senior Executive</v>
          </cell>
          <cell r="G65">
            <v>4.0999999999999996</v>
          </cell>
          <cell r="H65">
            <v>4</v>
          </cell>
        </row>
        <row r="66">
          <cell r="B66" t="str">
            <v>Hicham Chekri Fakhoury</v>
          </cell>
          <cell r="C66" t="str">
            <v>Dubai</v>
          </cell>
          <cell r="D66" t="str">
            <v>Content Solutions</v>
          </cell>
          <cell r="E66" t="str">
            <v>Content Solutions Lead</v>
          </cell>
          <cell r="G66">
            <v>5</v>
          </cell>
          <cell r="H66">
            <v>5</v>
          </cell>
        </row>
        <row r="67">
          <cell r="B67" t="str">
            <v>Mohamed Mahmoud Abou Naaj</v>
          </cell>
          <cell r="C67" t="str">
            <v>Dubai</v>
          </cell>
          <cell r="D67" t="str">
            <v>Finance</v>
          </cell>
          <cell r="E67" t="str">
            <v>Accountant-MMS</v>
          </cell>
          <cell r="G67">
            <v>4.2</v>
          </cell>
          <cell r="H67">
            <v>4.3</v>
          </cell>
        </row>
        <row r="68">
          <cell r="B68" t="str">
            <v xml:space="preserve">Riad Farouk Jneid </v>
          </cell>
          <cell r="C68" t="str">
            <v>Dubai</v>
          </cell>
          <cell r="D68" t="str">
            <v>Finance</v>
          </cell>
          <cell r="E68" t="str">
            <v>Finance Supervisor-MMS</v>
          </cell>
          <cell r="G68">
            <v>4.0999999999999996</v>
          </cell>
          <cell r="H68">
            <v>4.3</v>
          </cell>
        </row>
        <row r="69">
          <cell r="B69" t="str">
            <v xml:space="preserve">Husni  Ref'at Husni Nasir </v>
          </cell>
          <cell r="C69" t="str">
            <v>Dubai</v>
          </cell>
          <cell r="D69" t="str">
            <v>Traffic</v>
          </cell>
          <cell r="E69" t="str">
            <v>Senior Traffic Executive</v>
          </cell>
          <cell r="G69">
            <v>3.9</v>
          </cell>
          <cell r="H69">
            <v>4</v>
          </cell>
        </row>
        <row r="70">
          <cell r="B70" t="str">
            <v xml:space="preserve">Robby  Skaria  Thomas </v>
          </cell>
          <cell r="C70" t="str">
            <v>Dubai</v>
          </cell>
          <cell r="D70" t="str">
            <v>Finance</v>
          </cell>
          <cell r="E70" t="str">
            <v>Assistant Finance Manager</v>
          </cell>
          <cell r="G70">
            <v>4.4000000000000004</v>
          </cell>
          <cell r="H70">
            <v>3.7</v>
          </cell>
        </row>
        <row r="71">
          <cell r="B71" t="str">
            <v>Ibrahim Ben Ahmed</v>
          </cell>
          <cell r="C71" t="str">
            <v>Dubai</v>
          </cell>
          <cell r="D71" t="str">
            <v>Client Growth</v>
          </cell>
          <cell r="E71" t="str">
            <v>Shahid Growth Senior Executive</v>
          </cell>
          <cell r="G71">
            <v>3.2</v>
          </cell>
          <cell r="H71">
            <v>3.8</v>
          </cell>
        </row>
        <row r="72">
          <cell r="B72" t="str">
            <v xml:space="preserve">Jacques  Touma </v>
          </cell>
          <cell r="C72" t="str">
            <v>Dubai</v>
          </cell>
          <cell r="D72" t="str">
            <v>Agency Partnerships</v>
          </cell>
          <cell r="E72" t="str">
            <v>Agency Partnerships Senior Manager</v>
          </cell>
          <cell r="G72">
            <v>4</v>
          </cell>
          <cell r="H72">
            <v>4</v>
          </cell>
        </row>
        <row r="73">
          <cell r="B73" t="str">
            <v>Jad Gerges Abou Mitri</v>
          </cell>
          <cell r="C73" t="str">
            <v>Dubai</v>
          </cell>
          <cell r="D73" t="str">
            <v>Client Growth</v>
          </cell>
          <cell r="E73" t="str">
            <v>Shahid Growth Senior Manager</v>
          </cell>
          <cell r="G73">
            <v>3.3</v>
          </cell>
          <cell r="H73">
            <v>3.2</v>
          </cell>
        </row>
        <row r="74">
          <cell r="B74" t="str">
            <v>Jad Wajdi  Saab</v>
          </cell>
          <cell r="C74" t="str">
            <v>Dubai</v>
          </cell>
          <cell r="D74" t="str">
            <v>Client Growth</v>
          </cell>
          <cell r="E74" t="str">
            <v>Shahid Growth Lead</v>
          </cell>
          <cell r="G74">
            <v>5</v>
          </cell>
          <cell r="H74">
            <v>5</v>
          </cell>
        </row>
        <row r="75">
          <cell r="B75" t="str">
            <v>Jamil  Kabbara</v>
          </cell>
          <cell r="C75" t="str">
            <v>Dubai</v>
          </cell>
          <cell r="D75" t="str">
            <v>Research</v>
          </cell>
          <cell r="E75" t="str">
            <v>Data Analytics Senior Manager</v>
          </cell>
          <cell r="G75">
            <v>4.4000000000000004</v>
          </cell>
          <cell r="H75">
            <v>4.5</v>
          </cell>
        </row>
        <row r="76">
          <cell r="B76" t="str">
            <v>Jana Tebbo</v>
          </cell>
          <cell r="C76" t="str">
            <v>Dubai</v>
          </cell>
          <cell r="D76" t="str">
            <v>Legal</v>
          </cell>
          <cell r="E76" t="str">
            <v>Senior Lawyer</v>
          </cell>
          <cell r="G76"/>
          <cell r="H76"/>
        </row>
        <row r="77">
          <cell r="B77" t="str">
            <v>Jerome Gallon De Layola</v>
          </cell>
          <cell r="C77" t="str">
            <v>Dubai</v>
          </cell>
          <cell r="D77" t="str">
            <v>Traffic</v>
          </cell>
          <cell r="E77" t="str">
            <v>Senior Traffic Executive - Digital</v>
          </cell>
          <cell r="G77">
            <v>4.7</v>
          </cell>
          <cell r="H77">
            <v>5</v>
          </cell>
        </row>
        <row r="78">
          <cell r="B78" t="str">
            <v>Joey Joseph Feghaly</v>
          </cell>
          <cell r="C78" t="str">
            <v>Dubai</v>
          </cell>
          <cell r="D78" t="str">
            <v>Client Growth</v>
          </cell>
          <cell r="E78" t="str">
            <v>Shahid Growth Senior Manager</v>
          </cell>
          <cell r="G78">
            <v>4.2</v>
          </cell>
          <cell r="H78">
            <v>3.7</v>
          </cell>
        </row>
        <row r="79">
          <cell r="B79" t="str">
            <v xml:space="preserve">Juel  Marticho </v>
          </cell>
          <cell r="C79" t="str">
            <v>Dubai</v>
          </cell>
          <cell r="D79" t="str">
            <v>Client Growth</v>
          </cell>
          <cell r="E79" t="str">
            <v>Shahid Planning Operation Executive</v>
          </cell>
          <cell r="G79">
            <v>4.7</v>
          </cell>
          <cell r="H79">
            <v>4.7</v>
          </cell>
        </row>
        <row r="80">
          <cell r="B80" t="str">
            <v>Mohamed Mokhtar Fouad Mohamed</v>
          </cell>
          <cell r="C80" t="str">
            <v>Riyadh</v>
          </cell>
          <cell r="D80" t="str">
            <v>Finance</v>
          </cell>
          <cell r="E80" t="str">
            <v>Accountant Supervisor</v>
          </cell>
          <cell r="G80">
            <v>4</v>
          </cell>
          <cell r="H80">
            <v>4</v>
          </cell>
        </row>
        <row r="81">
          <cell r="B81" t="str">
            <v xml:space="preserve">Pornpimol Suttachat </v>
          </cell>
          <cell r="C81" t="str">
            <v>Dubai</v>
          </cell>
          <cell r="D81" t="str">
            <v>Finance</v>
          </cell>
          <cell r="E81" t="str">
            <v>Commercial Financial Analyst-MMS</v>
          </cell>
          <cell r="G81">
            <v>3.6</v>
          </cell>
          <cell r="H81">
            <v>4.2</v>
          </cell>
        </row>
        <row r="82">
          <cell r="B82" t="str">
            <v>Karim Nasr abdelsalam Ibrahim</v>
          </cell>
          <cell r="C82" t="str">
            <v>Cairo</v>
          </cell>
          <cell r="D82" t="str">
            <v>Admin</v>
          </cell>
          <cell r="E82" t="str">
            <v>Runner</v>
          </cell>
          <cell r="G82">
            <v>3</v>
          </cell>
          <cell r="H82">
            <v>3</v>
          </cell>
        </row>
        <row r="83">
          <cell r="B83" t="str">
            <v>Karim Zead Soubra</v>
          </cell>
          <cell r="C83" t="str">
            <v>Riyadh</v>
          </cell>
          <cell r="D83" t="str">
            <v>Client Growth</v>
          </cell>
          <cell r="E83" t="str">
            <v>Client Growth Associate Director</v>
          </cell>
          <cell r="G83">
            <v>4.2</v>
          </cell>
          <cell r="H83">
            <v>3.3</v>
          </cell>
        </row>
        <row r="84">
          <cell r="B84" t="str">
            <v>Karl Chedraui Bassil</v>
          </cell>
          <cell r="C84" t="str">
            <v>Dubai</v>
          </cell>
          <cell r="D84" t="str">
            <v>Research</v>
          </cell>
          <cell r="E84" t="str">
            <v>Integrated Media Manager</v>
          </cell>
          <cell r="G84">
            <v>4.5</v>
          </cell>
          <cell r="H84">
            <v>4.8</v>
          </cell>
        </row>
        <row r="85">
          <cell r="B85" t="str">
            <v xml:space="preserve">Latifa Hamza Mohamed Shareef A Rahman Al Janahi </v>
          </cell>
          <cell r="C85" t="str">
            <v>Dubai</v>
          </cell>
          <cell r="D85" t="str">
            <v>Client Growth</v>
          </cell>
          <cell r="E85" t="str">
            <v>Client Growth Director</v>
          </cell>
          <cell r="G85">
            <v>5</v>
          </cell>
          <cell r="H85">
            <v>4.7</v>
          </cell>
        </row>
        <row r="86">
          <cell r="B86" t="str">
            <v>Latifa Riyadh Abdullah Alshalhoub</v>
          </cell>
          <cell r="C86" t="str">
            <v>Riyadh</v>
          </cell>
          <cell r="D86" t="str">
            <v>Marketing</v>
          </cell>
          <cell r="E86" t="str">
            <v>Graphics Designer</v>
          </cell>
          <cell r="G86">
            <v>5</v>
          </cell>
          <cell r="H86">
            <v>5</v>
          </cell>
        </row>
        <row r="87">
          <cell r="B87" t="str">
            <v>Laura Nizar Nayef Younes</v>
          </cell>
          <cell r="C87" t="str">
            <v>Dubai</v>
          </cell>
          <cell r="D87" t="str">
            <v>Client Growth</v>
          </cell>
          <cell r="E87" t="str">
            <v>Client Growth Executive</v>
          </cell>
          <cell r="G87">
            <v>3.8</v>
          </cell>
          <cell r="H87">
            <v>4.2</v>
          </cell>
        </row>
        <row r="88">
          <cell r="B88" t="str">
            <v xml:space="preserve">Layal Takieddine </v>
          </cell>
          <cell r="C88" t="str">
            <v>Dubai</v>
          </cell>
          <cell r="D88" t="str">
            <v>Marketing</v>
          </cell>
          <cell r="E88" t="str">
            <v>Head of Marketing-MMS</v>
          </cell>
          <cell r="G88">
            <v>4.4000000000000004</v>
          </cell>
          <cell r="H88">
            <v>4.5</v>
          </cell>
        </row>
        <row r="89">
          <cell r="B89" t="str">
            <v>Ahmed mohamed saadeldin gafaar</v>
          </cell>
          <cell r="C89" t="str">
            <v>Cairo</v>
          </cell>
          <cell r="D89" t="str">
            <v>Finance</v>
          </cell>
          <cell r="E89" t="str">
            <v xml:space="preserve">Chief Accountant </v>
          </cell>
          <cell r="G89">
            <v>3.8</v>
          </cell>
          <cell r="H89">
            <v>3.7</v>
          </cell>
        </row>
        <row r="90">
          <cell r="B90" t="str">
            <v>Leenah Hashim Almehdar</v>
          </cell>
          <cell r="C90" t="str">
            <v>Jeddah</v>
          </cell>
          <cell r="D90" t="str">
            <v>Client Growth</v>
          </cell>
          <cell r="E90" t="str">
            <v>Client Growth Senior Manager</v>
          </cell>
          <cell r="G90">
            <v>4.4000000000000004</v>
          </cell>
          <cell r="H90">
            <v>4.7</v>
          </cell>
        </row>
        <row r="91">
          <cell r="B91" t="str">
            <v>Lobna Sherif Mahmoud Kamel Anis</v>
          </cell>
          <cell r="C91" t="str">
            <v>Cairo</v>
          </cell>
          <cell r="D91" t="str">
            <v>Agency Partnerships</v>
          </cell>
          <cell r="E91" t="str">
            <v>Sales Senior Manager</v>
          </cell>
          <cell r="G91">
            <v>3.5</v>
          </cell>
          <cell r="H91">
            <v>3.7</v>
          </cell>
        </row>
        <row r="92">
          <cell r="B92" t="str">
            <v>Mahmoud Ibrahim Mohamed Elkholy</v>
          </cell>
          <cell r="C92" t="str">
            <v>Cairo</v>
          </cell>
          <cell r="D92" t="str">
            <v>Agency Partnerships</v>
          </cell>
          <cell r="E92" t="str">
            <v>Client Service Senior Supervisor</v>
          </cell>
          <cell r="G92">
            <v>3.8</v>
          </cell>
          <cell r="H92">
            <v>3.7</v>
          </cell>
        </row>
        <row r="93">
          <cell r="B93" t="str">
            <v>Mahmoud Mohamed Mahmoud Gomaa</v>
          </cell>
          <cell r="C93" t="str">
            <v>Cairo</v>
          </cell>
          <cell r="D93" t="str">
            <v>Agency Partnerships</v>
          </cell>
          <cell r="E93" t="str">
            <v>Associate Director</v>
          </cell>
          <cell r="G93">
            <v>4.2</v>
          </cell>
          <cell r="H93">
            <v>4</v>
          </cell>
        </row>
        <row r="94">
          <cell r="B94" t="str">
            <v>Ahmed Awny Hamza El Kalaf</v>
          </cell>
          <cell r="C94" t="str">
            <v>Cairo</v>
          </cell>
          <cell r="D94" t="str">
            <v>Finance</v>
          </cell>
          <cell r="E94" t="str">
            <v>Senior Finance Manager</v>
          </cell>
          <cell r="G94">
            <v>3.8</v>
          </cell>
          <cell r="H94">
            <v>3.2</v>
          </cell>
        </row>
        <row r="95">
          <cell r="B95" t="str">
            <v>Maria Elena   Garcia</v>
          </cell>
          <cell r="C95" t="str">
            <v>Dubai</v>
          </cell>
          <cell r="D95" t="str">
            <v>Traffic</v>
          </cell>
          <cell r="E95" t="str">
            <v>Senior Traffic Operations</v>
          </cell>
          <cell r="G95">
            <v>4</v>
          </cell>
          <cell r="H95">
            <v>4</v>
          </cell>
        </row>
        <row r="96">
          <cell r="B96" t="str">
            <v xml:space="preserve">Marie  Fe Sudio </v>
          </cell>
          <cell r="C96" t="str">
            <v>Dubai</v>
          </cell>
          <cell r="D96" t="str">
            <v>Traffic</v>
          </cell>
          <cell r="E96" t="str">
            <v>Senior Traffic Executive</v>
          </cell>
          <cell r="G96">
            <v>4.5</v>
          </cell>
          <cell r="H96">
            <v>4.3</v>
          </cell>
        </row>
        <row r="97">
          <cell r="B97" t="str">
            <v>Mariel Blanca Roxas</v>
          </cell>
          <cell r="C97" t="str">
            <v>Dubai</v>
          </cell>
          <cell r="D97" t="str">
            <v>Traffic</v>
          </cell>
          <cell r="E97" t="str">
            <v>Senior Traffic Executive</v>
          </cell>
          <cell r="G97">
            <v>4.5</v>
          </cell>
          <cell r="H97">
            <v>4.3</v>
          </cell>
        </row>
        <row r="98">
          <cell r="B98" t="str">
            <v>Marlyn Calderon</v>
          </cell>
          <cell r="C98" t="str">
            <v>Dubai</v>
          </cell>
          <cell r="D98" t="str">
            <v>Traffic</v>
          </cell>
          <cell r="E98" t="str">
            <v>Traffic Executive - Digital</v>
          </cell>
          <cell r="G98">
            <v>4.4000000000000004</v>
          </cell>
          <cell r="H98">
            <v>4.5</v>
          </cell>
        </row>
        <row r="99">
          <cell r="B99" t="str">
            <v>Marwa Sayed Abdelhalim Abdelfatah Elsherbiny</v>
          </cell>
          <cell r="C99" t="str">
            <v>Cairo</v>
          </cell>
          <cell r="D99" t="str">
            <v>Agency Partnerships</v>
          </cell>
          <cell r="E99" t="str">
            <v>Client Service Manager</v>
          </cell>
          <cell r="G99">
            <v>4</v>
          </cell>
          <cell r="H99">
            <v>3.5</v>
          </cell>
        </row>
        <row r="100">
          <cell r="B100" t="str">
            <v>Marwan Mohamed Albasous</v>
          </cell>
          <cell r="C100" t="str">
            <v>Riyadh</v>
          </cell>
          <cell r="D100" t="str">
            <v>Client Growth</v>
          </cell>
          <cell r="E100" t="str">
            <v>Audio Growth Senior Executive</v>
          </cell>
          <cell r="G100">
            <v>4.5</v>
          </cell>
          <cell r="H100">
            <v>4</v>
          </cell>
        </row>
        <row r="101">
          <cell r="B101" t="str">
            <v>Mashail Osama Albliwi</v>
          </cell>
          <cell r="C101" t="str">
            <v>Riyadh</v>
          </cell>
          <cell r="D101" t="str">
            <v>Content Solutions</v>
          </cell>
          <cell r="E101" t="str">
            <v>Content Solutions Senior Executive</v>
          </cell>
          <cell r="G101">
            <v>3.8</v>
          </cell>
          <cell r="H101">
            <v>4.5</v>
          </cell>
        </row>
        <row r="102">
          <cell r="B102" t="str">
            <v>Massoud Abdallah Abd Elghany Abdallah Abd Elghany</v>
          </cell>
          <cell r="C102" t="str">
            <v>Cairo</v>
          </cell>
          <cell r="D102" t="str">
            <v>Technology</v>
          </cell>
          <cell r="E102" t="str">
            <v>Supervisor IT Engineer</v>
          </cell>
          <cell r="G102">
            <v>3.9</v>
          </cell>
          <cell r="H102">
            <v>3.8</v>
          </cell>
        </row>
        <row r="103">
          <cell r="B103" t="str">
            <v>Mathieu Sayed Yarak</v>
          </cell>
          <cell r="C103" t="str">
            <v>Dubai</v>
          </cell>
          <cell r="D103" t="str">
            <v>Research</v>
          </cell>
          <cell r="E103" t="str">
            <v>Head of Data</v>
          </cell>
          <cell r="G103">
            <v>4.5</v>
          </cell>
          <cell r="H103">
            <v>4.2</v>
          </cell>
        </row>
        <row r="104">
          <cell r="B104" t="str">
            <v>Kareem Mohamed Yahya Saad Ibrahim</v>
          </cell>
          <cell r="C104" t="str">
            <v>Dubai</v>
          </cell>
          <cell r="D104" t="str">
            <v>Finance</v>
          </cell>
          <cell r="E104" t="str">
            <v>Senior Accountant-MMS</v>
          </cell>
          <cell r="G104">
            <v>3.5</v>
          </cell>
          <cell r="H104">
            <v>3.5</v>
          </cell>
        </row>
        <row r="105">
          <cell r="B105" t="str">
            <v xml:space="preserve">Faisal Shakeel Shakeel Ahmed </v>
          </cell>
          <cell r="C105" t="str">
            <v>Dubai</v>
          </cell>
          <cell r="D105" t="str">
            <v>Finance</v>
          </cell>
          <cell r="E105" t="str">
            <v>Assistant Finance Manager</v>
          </cell>
          <cell r="G105">
            <v>3.5</v>
          </cell>
          <cell r="H105">
            <v>3.3</v>
          </cell>
        </row>
        <row r="106">
          <cell r="B106" t="str">
            <v>Meriem Kettani</v>
          </cell>
          <cell r="C106" t="str">
            <v>Dubai</v>
          </cell>
          <cell r="D106" t="str">
            <v>Executive</v>
          </cell>
          <cell r="E106" t="str">
            <v>Chief Finance and Operations Officer</v>
          </cell>
        </row>
        <row r="107">
          <cell r="B107" t="str">
            <v xml:space="preserve">MHD Moaz Dahhan </v>
          </cell>
          <cell r="C107" t="str">
            <v>Dubai</v>
          </cell>
          <cell r="D107" t="str">
            <v>Technology</v>
          </cell>
          <cell r="E107" t="str">
            <v>IT Manager-MMS</v>
          </cell>
          <cell r="G107">
            <v>4</v>
          </cell>
          <cell r="H107">
            <v>4</v>
          </cell>
        </row>
        <row r="108">
          <cell r="B108" t="str">
            <v>Michel  Antoine Joumaa</v>
          </cell>
          <cell r="C108" t="str">
            <v>Dubai</v>
          </cell>
          <cell r="D108" t="str">
            <v>Agency Partnerships</v>
          </cell>
          <cell r="E108" t="str">
            <v>Agency Partnerships Associate Director</v>
          </cell>
          <cell r="G108">
            <v>4</v>
          </cell>
          <cell r="H108">
            <v>4.3</v>
          </cell>
        </row>
        <row r="109">
          <cell r="B109" t="str">
            <v>Mahmoud Soubhe Muhammed Ramadan</v>
          </cell>
          <cell r="C109" t="str">
            <v>Riyadh</v>
          </cell>
          <cell r="D109" t="str">
            <v>Finance</v>
          </cell>
          <cell r="E109" t="str">
            <v>Senior Finance Manager</v>
          </cell>
          <cell r="G109">
            <v>3.5</v>
          </cell>
          <cell r="H109">
            <v>3.3</v>
          </cell>
        </row>
        <row r="110">
          <cell r="B110" t="str">
            <v xml:space="preserve">Mohamad Toufic Ramadan </v>
          </cell>
          <cell r="C110" t="str">
            <v>Dubai</v>
          </cell>
          <cell r="D110" t="str">
            <v>Content Solutions</v>
          </cell>
          <cell r="E110" t="str">
            <v>Content Solutions Director</v>
          </cell>
          <cell r="G110">
            <v>4.8</v>
          </cell>
          <cell r="H110">
            <v>4.3</v>
          </cell>
        </row>
        <row r="111">
          <cell r="B111" t="str">
            <v>Mohamed Ahmed Hassan Nasr</v>
          </cell>
          <cell r="C111" t="str">
            <v>Cairo</v>
          </cell>
          <cell r="D111" t="str">
            <v>Agency Partnerships</v>
          </cell>
          <cell r="E111" t="str">
            <v>Sales Senior Manager</v>
          </cell>
          <cell r="G111"/>
          <cell r="H111"/>
        </row>
        <row r="112">
          <cell r="B112" t="str">
            <v>Mohamed Ahmed Ibrahim Refaat</v>
          </cell>
          <cell r="C112" t="str">
            <v>Cairo</v>
          </cell>
          <cell r="D112" t="str">
            <v>Agency Partnerships</v>
          </cell>
          <cell r="E112" t="str">
            <v>Commercial Lead</v>
          </cell>
          <cell r="G112">
            <v>4</v>
          </cell>
          <cell r="H112">
            <v>4.3</v>
          </cell>
        </row>
        <row r="113">
          <cell r="B113" t="str">
            <v>Mohamed Ahmed Idrees Ahmed</v>
          </cell>
          <cell r="C113" t="str">
            <v>Cairo</v>
          </cell>
          <cell r="D113" t="str">
            <v>Traffic</v>
          </cell>
          <cell r="E113" t="str">
            <v>Assistant Manager - Traffic</v>
          </cell>
          <cell r="G113">
            <v>3.8</v>
          </cell>
          <cell r="H113">
            <v>3.7</v>
          </cell>
        </row>
        <row r="114">
          <cell r="B114" t="str">
            <v>Mohamed Amr Mounir</v>
          </cell>
          <cell r="C114" t="str">
            <v>Dubai</v>
          </cell>
          <cell r="D114" t="str">
            <v>Traffic</v>
          </cell>
          <cell r="E114" t="str">
            <v>Senior Traffic Executive</v>
          </cell>
          <cell r="G114">
            <v>3.5</v>
          </cell>
          <cell r="H114">
            <v>3.5</v>
          </cell>
        </row>
        <row r="115">
          <cell r="B115" t="str">
            <v>Mohamed Awad mohamed Ahmed</v>
          </cell>
          <cell r="C115" t="str">
            <v>Cairo</v>
          </cell>
          <cell r="D115" t="str">
            <v>Admin</v>
          </cell>
          <cell r="E115" t="str">
            <v>Office Boy</v>
          </cell>
          <cell r="G115">
            <v>3.5</v>
          </cell>
          <cell r="H115">
            <v>3.2</v>
          </cell>
        </row>
        <row r="116">
          <cell r="B116" t="str">
            <v>Mohamed Elsaeed Soliman Hamza</v>
          </cell>
          <cell r="C116" t="str">
            <v>Cairo</v>
          </cell>
          <cell r="D116" t="str">
            <v>Agency Partnerships</v>
          </cell>
          <cell r="E116" t="str">
            <v>Head of Commercial</v>
          </cell>
          <cell r="G116">
            <v>4.7</v>
          </cell>
          <cell r="H116">
            <v>4.8</v>
          </cell>
        </row>
        <row r="117">
          <cell r="B117" t="str">
            <v>Mohamed Emadeldin Mahmoud Mohamed Elsemary</v>
          </cell>
          <cell r="C117" t="str">
            <v>Cairo</v>
          </cell>
          <cell r="D117" t="str">
            <v>Finance</v>
          </cell>
          <cell r="E117" t="str">
            <v>Accounting Supervisor</v>
          </cell>
          <cell r="G117">
            <v>3.5</v>
          </cell>
          <cell r="H117">
            <v>3.3</v>
          </cell>
        </row>
        <row r="118">
          <cell r="B118" t="str">
            <v>Hossam Hassan Mohamed Allam</v>
          </cell>
          <cell r="C118" t="str">
            <v>Riyadh</v>
          </cell>
          <cell r="D118" t="str">
            <v>Finance</v>
          </cell>
          <cell r="E118" t="str">
            <v>Accountant Supervisor</v>
          </cell>
          <cell r="G118">
            <v>3.2</v>
          </cell>
          <cell r="H118">
            <v>3</v>
          </cell>
        </row>
        <row r="119">
          <cell r="B119" t="str">
            <v>Mohamed Gamal Eldeen Mohamed Seweafi</v>
          </cell>
          <cell r="C119" t="str">
            <v>Cairo</v>
          </cell>
          <cell r="D119" t="str">
            <v>Agency Partnerships</v>
          </cell>
          <cell r="E119" t="str">
            <v>Associate Director</v>
          </cell>
          <cell r="G119">
            <v>4.3</v>
          </cell>
          <cell r="H119">
            <v>3.8</v>
          </cell>
        </row>
        <row r="120">
          <cell r="B120" t="str">
            <v>Mohamed Hamed Ramadan Abdo Atta</v>
          </cell>
          <cell r="C120" t="str">
            <v>Cairo</v>
          </cell>
          <cell r="D120" t="str">
            <v>Admin</v>
          </cell>
          <cell r="E120" t="str">
            <v>Runner</v>
          </cell>
        </row>
        <row r="121">
          <cell r="B121" t="str">
            <v>Mohamed Ibrahim Mohamed Nour</v>
          </cell>
          <cell r="C121" t="str">
            <v>Dubai</v>
          </cell>
          <cell r="D121" t="str">
            <v>Technology</v>
          </cell>
          <cell r="E121" t="str">
            <v>IT Engineer</v>
          </cell>
          <cell r="G121">
            <v>4.5999999999999996</v>
          </cell>
          <cell r="H121">
            <v>4.5</v>
          </cell>
        </row>
        <row r="122">
          <cell r="B122" t="str">
            <v>Abdullah Abdulrahman Abdullah Aldakhil</v>
          </cell>
          <cell r="C122" t="str">
            <v>Riyadh</v>
          </cell>
          <cell r="D122" t="str">
            <v>Finance</v>
          </cell>
          <cell r="E122" t="str">
            <v>Accountant Executive</v>
          </cell>
          <cell r="G122">
            <v>3</v>
          </cell>
          <cell r="H122">
            <v>3</v>
          </cell>
        </row>
        <row r="123">
          <cell r="B123" t="str">
            <v>Eslam Sayed</v>
          </cell>
          <cell r="C123" t="str">
            <v>Cairo</v>
          </cell>
          <cell r="D123" t="str">
            <v>Finance</v>
          </cell>
          <cell r="E123" t="str">
            <v>AR Senior Accountant</v>
          </cell>
          <cell r="G123">
            <v>3</v>
          </cell>
          <cell r="H123">
            <v>3</v>
          </cell>
        </row>
        <row r="124">
          <cell r="B124" t="str">
            <v>Mohamed Mostafa Youssef Mohamed</v>
          </cell>
          <cell r="C124" t="str">
            <v>Cairo</v>
          </cell>
          <cell r="D124" t="str">
            <v>Traffic</v>
          </cell>
          <cell r="E124" t="str">
            <v>Traffic Supervisor</v>
          </cell>
          <cell r="G124">
            <v>3.9</v>
          </cell>
          <cell r="H124">
            <v>3.7</v>
          </cell>
        </row>
        <row r="125">
          <cell r="B125" t="str">
            <v>Hossam Atef Abdo Mohamed</v>
          </cell>
          <cell r="C125" t="str">
            <v>Cairo</v>
          </cell>
          <cell r="D125" t="str">
            <v>Finance</v>
          </cell>
          <cell r="E125" t="str">
            <v>AR Senior Accountant</v>
          </cell>
          <cell r="G125">
            <v>3</v>
          </cell>
          <cell r="H125">
            <v>3</v>
          </cell>
        </row>
        <row r="126">
          <cell r="B126" t="str">
            <v>Ibrahim Abdelnaby Elleithy Taha</v>
          </cell>
          <cell r="C126" t="str">
            <v>Cairo</v>
          </cell>
          <cell r="D126" t="str">
            <v>Finance</v>
          </cell>
          <cell r="E126" t="str">
            <v>Junior AR Accountant</v>
          </cell>
          <cell r="G126">
            <v>3</v>
          </cell>
          <cell r="H126">
            <v>3</v>
          </cell>
        </row>
        <row r="127">
          <cell r="B127" t="str">
            <v>Mohsen Sayed Abdrabo Mahmoud</v>
          </cell>
          <cell r="C127" t="str">
            <v>Cairo</v>
          </cell>
          <cell r="D127" t="str">
            <v>Traffic</v>
          </cell>
          <cell r="E127" t="str">
            <v>Traffic Supervisor</v>
          </cell>
          <cell r="G127">
            <v>3.7</v>
          </cell>
          <cell r="H127">
            <v>4</v>
          </cell>
        </row>
        <row r="128">
          <cell r="B128" t="str">
            <v>Monerah Ibrahim Alzamil</v>
          </cell>
          <cell r="C128" t="str">
            <v>Riyadh</v>
          </cell>
          <cell r="D128" t="str">
            <v>Client Growth</v>
          </cell>
          <cell r="E128" t="str">
            <v>Client Growth Senior Executive</v>
          </cell>
          <cell r="G128">
            <v>4.8</v>
          </cell>
          <cell r="H128">
            <v>4.7</v>
          </cell>
        </row>
        <row r="129">
          <cell r="B129" t="str">
            <v>Mostafa Mohamed Ahmed Mohamed Ali</v>
          </cell>
          <cell r="C129" t="str">
            <v>Cairo</v>
          </cell>
          <cell r="D129" t="str">
            <v>Admin</v>
          </cell>
          <cell r="E129" t="str">
            <v>Runner</v>
          </cell>
          <cell r="G129">
            <v>3</v>
          </cell>
          <cell r="H129">
            <v>3</v>
          </cell>
        </row>
        <row r="130">
          <cell r="B130" t="str">
            <v>Mostafa Nader Gamal Eldeen Mohi Eldeen</v>
          </cell>
          <cell r="C130" t="str">
            <v>Cairo</v>
          </cell>
          <cell r="D130" t="str">
            <v>Traffic</v>
          </cell>
          <cell r="E130" t="str">
            <v>Senior Traffic Supervisor</v>
          </cell>
          <cell r="G130">
            <v>4</v>
          </cell>
          <cell r="H130">
            <v>4</v>
          </cell>
        </row>
        <row r="131">
          <cell r="B131" t="str">
            <v>Mostafa Salaheldin Nasr</v>
          </cell>
          <cell r="C131" t="str">
            <v>Cairo</v>
          </cell>
          <cell r="D131" t="str">
            <v>Admin</v>
          </cell>
          <cell r="E131" t="str">
            <v>Runner</v>
          </cell>
          <cell r="G131">
            <v>3.5</v>
          </cell>
          <cell r="H131">
            <v>3.7</v>
          </cell>
        </row>
        <row r="132">
          <cell r="B132" t="str">
            <v xml:space="preserve">Muhammad Ijaz  Khan </v>
          </cell>
          <cell r="C132" t="str">
            <v>Dubai</v>
          </cell>
          <cell r="D132" t="str">
            <v>Admin</v>
          </cell>
          <cell r="E132" t="str">
            <v>Driver-MMS</v>
          </cell>
          <cell r="G132">
            <v>4.2</v>
          </cell>
          <cell r="H132">
            <v>4</v>
          </cell>
        </row>
        <row r="133">
          <cell r="B133" t="str">
            <v>Nada Abdullah Doman Alotaibi</v>
          </cell>
          <cell r="C133" t="str">
            <v>Riyadh</v>
          </cell>
          <cell r="D133" t="str">
            <v>Executive - CEO Office</v>
          </cell>
          <cell r="E133" t="str">
            <v>Senior Executive Office Manager– CEO Office</v>
          </cell>
          <cell r="G133">
            <v>5</v>
          </cell>
          <cell r="H133">
            <v>5</v>
          </cell>
        </row>
        <row r="134">
          <cell r="B134" t="str">
            <v>Nada Sherif Abdelrahman Sayed Ahmed</v>
          </cell>
          <cell r="C134" t="str">
            <v>Cairo</v>
          </cell>
          <cell r="D134" t="str">
            <v>Agency Partnerships</v>
          </cell>
          <cell r="E134" t="str">
            <v>Client Service Executive</v>
          </cell>
          <cell r="G134">
            <v>4</v>
          </cell>
          <cell r="H134">
            <v>3.8</v>
          </cell>
        </row>
        <row r="135">
          <cell r="B135" t="str">
            <v>Nadim Moussa Samara</v>
          </cell>
          <cell r="C135" t="str">
            <v>Dubai</v>
          </cell>
          <cell r="D135" t="str">
            <v>Executive</v>
          </cell>
          <cell r="E135" t="str">
            <v>Chief Commercial Officer</v>
          </cell>
        </row>
        <row r="136">
          <cell r="B136" t="str">
            <v>Nermine Nader Mohamed Hegazy</v>
          </cell>
          <cell r="C136" t="str">
            <v>Cairo</v>
          </cell>
          <cell r="D136" t="str">
            <v>Agency Partnerships</v>
          </cell>
          <cell r="E136" t="str">
            <v>Digital Sales Supervisor</v>
          </cell>
          <cell r="G136">
            <v>3.5</v>
          </cell>
          <cell r="H136">
            <v>3.7</v>
          </cell>
        </row>
        <row r="137">
          <cell r="B137" t="str">
            <v xml:space="preserve">Nicholas  Khoury </v>
          </cell>
          <cell r="C137" t="str">
            <v>Dubai</v>
          </cell>
          <cell r="D137" t="str">
            <v>Agency Partnerships</v>
          </cell>
          <cell r="E137" t="str">
            <v>Agency Partnerships Associate Director</v>
          </cell>
          <cell r="G137">
            <v>4.3</v>
          </cell>
          <cell r="H137">
            <v>4</v>
          </cell>
        </row>
        <row r="138">
          <cell r="B138" t="str">
            <v>Nilesh Shantaram  Kadam</v>
          </cell>
          <cell r="C138" t="str">
            <v>Dubai</v>
          </cell>
          <cell r="D138" t="str">
            <v>Traffic</v>
          </cell>
          <cell r="E138" t="str">
            <v>Traffic Manager - Digital</v>
          </cell>
          <cell r="G138">
            <v>5</v>
          </cell>
          <cell r="H138">
            <v>5</v>
          </cell>
        </row>
        <row r="139">
          <cell r="B139" t="str">
            <v xml:space="preserve">Noor  Nazzal </v>
          </cell>
          <cell r="C139" t="str">
            <v>Dubai</v>
          </cell>
          <cell r="D139" t="str">
            <v>Marketing</v>
          </cell>
          <cell r="E139" t="str">
            <v>Marketing and PR Senior Manager</v>
          </cell>
          <cell r="G139">
            <v>5</v>
          </cell>
          <cell r="H139">
            <v>5</v>
          </cell>
        </row>
        <row r="140">
          <cell r="B140" t="str">
            <v>Layal Talal Abdullah Samarkandi</v>
          </cell>
          <cell r="C140" t="str">
            <v>Riyadh</v>
          </cell>
          <cell r="D140" t="str">
            <v>Finance</v>
          </cell>
          <cell r="E140" t="str">
            <v xml:space="preserve">Accountant Senior Executive </v>
          </cell>
          <cell r="G140">
            <v>3</v>
          </cell>
          <cell r="H140">
            <v>3</v>
          </cell>
        </row>
        <row r="141">
          <cell r="B141" t="str">
            <v>Norah Abdulaziz Abduallah Alkhayyal</v>
          </cell>
          <cell r="C141" t="str">
            <v>Riyadh</v>
          </cell>
          <cell r="D141" t="str">
            <v>Client Growth</v>
          </cell>
          <cell r="E141" t="str">
            <v>Client Growth Senior Executive</v>
          </cell>
          <cell r="G141">
            <v>0</v>
          </cell>
          <cell r="H141">
            <v>4</v>
          </cell>
        </row>
        <row r="142">
          <cell r="B142" t="str">
            <v>Mohamed Fathy Abdel Aziz Aly</v>
          </cell>
          <cell r="C142" t="str">
            <v>Cairo</v>
          </cell>
          <cell r="D142" t="str">
            <v>Finance</v>
          </cell>
          <cell r="E142" t="str">
            <v>Collection Officer</v>
          </cell>
          <cell r="G142">
            <v>3</v>
          </cell>
          <cell r="H142">
            <v>3</v>
          </cell>
        </row>
        <row r="143">
          <cell r="B143" t="str">
            <v>Noreen Arda</v>
          </cell>
          <cell r="C143" t="str">
            <v>Dubai</v>
          </cell>
          <cell r="D143" t="str">
            <v>Traffic</v>
          </cell>
          <cell r="E143" t="str">
            <v>Senior Traffic Executive</v>
          </cell>
          <cell r="G143">
            <v>4.5</v>
          </cell>
          <cell r="H143">
            <v>4.3</v>
          </cell>
        </row>
        <row r="144">
          <cell r="B144" t="str">
            <v>Nour Hadchiti</v>
          </cell>
          <cell r="C144" t="str">
            <v>Dubai</v>
          </cell>
          <cell r="D144" t="str">
            <v>Content Solutions</v>
          </cell>
          <cell r="E144" t="str">
            <v>Content Solutions Senior Executive</v>
          </cell>
          <cell r="G144">
            <v>5</v>
          </cell>
          <cell r="H144">
            <v>5</v>
          </cell>
        </row>
        <row r="145">
          <cell r="B145" t="str">
            <v>Noura Khalid Mohammed Al-Essa</v>
          </cell>
          <cell r="C145" t="str">
            <v>Riyadh</v>
          </cell>
          <cell r="D145" t="str">
            <v>HR</v>
          </cell>
          <cell r="E145" t="str">
            <v>HR Manager-MMS</v>
          </cell>
          <cell r="G145">
            <v>4.9000000000000004</v>
          </cell>
          <cell r="H145">
            <v>5</v>
          </cell>
        </row>
        <row r="146">
          <cell r="B146" t="str">
            <v>Ola Mohamed Ismail Abdelaziz Serag</v>
          </cell>
          <cell r="C146" t="str">
            <v>Cairo</v>
          </cell>
          <cell r="D146" t="str">
            <v>Marketing</v>
          </cell>
          <cell r="E146" t="str">
            <v>Head of Marketing</v>
          </cell>
          <cell r="G146">
            <v>5</v>
          </cell>
          <cell r="H146">
            <v>4.8</v>
          </cell>
        </row>
        <row r="147">
          <cell r="B147" t="str">
            <v>Omar Mostafa Youssef abdelrahman Hasaneen</v>
          </cell>
          <cell r="C147" t="str">
            <v>Cairo</v>
          </cell>
          <cell r="D147" t="str">
            <v>Traffic</v>
          </cell>
          <cell r="E147" t="str">
            <v>Traffic Senior Executive</v>
          </cell>
          <cell r="G147">
            <v>3.5</v>
          </cell>
          <cell r="H147">
            <v>3.5</v>
          </cell>
        </row>
        <row r="148">
          <cell r="B148" t="str">
            <v xml:space="preserve">Petra Ahwach </v>
          </cell>
          <cell r="C148" t="str">
            <v>Dubai</v>
          </cell>
          <cell r="D148" t="str">
            <v>Client Growth</v>
          </cell>
          <cell r="E148" t="str">
            <v>Client Growth Senior Manager</v>
          </cell>
          <cell r="G148">
            <v>3.6</v>
          </cell>
          <cell r="H148">
            <v>4.2</v>
          </cell>
        </row>
        <row r="149">
          <cell r="B149" t="str">
            <v>Pierre Raif Doumit</v>
          </cell>
          <cell r="C149" t="str">
            <v>Dubai</v>
          </cell>
          <cell r="D149" t="str">
            <v>Client Growth</v>
          </cell>
          <cell r="E149" t="str">
            <v>Shahid Growth Manager</v>
          </cell>
          <cell r="G149">
            <v>4</v>
          </cell>
          <cell r="H149">
            <v>4</v>
          </cell>
        </row>
        <row r="150">
          <cell r="B150" t="str">
            <v>Mohammed Nasser Bin Nasban</v>
          </cell>
          <cell r="C150" t="str">
            <v>Riyadh</v>
          </cell>
          <cell r="D150" t="str">
            <v>Finance</v>
          </cell>
          <cell r="E150" t="str">
            <v>Accountant Executive</v>
          </cell>
          <cell r="G150">
            <v>3</v>
          </cell>
          <cell r="H150">
            <v>3</v>
          </cell>
        </row>
        <row r="151">
          <cell r="B151" t="str">
            <v>Rami Adib Saoud</v>
          </cell>
          <cell r="C151" t="str">
            <v>Riyadh</v>
          </cell>
          <cell r="D151" t="str">
            <v>Content Solutions</v>
          </cell>
          <cell r="E151" t="str">
            <v>Content Solutions Manager</v>
          </cell>
        </row>
        <row r="152">
          <cell r="B152" t="str">
            <v>Ramy Adel Mohamed Afifi Ibrahim</v>
          </cell>
          <cell r="C152" t="str">
            <v>Cairo</v>
          </cell>
          <cell r="D152" t="str">
            <v>Traffic</v>
          </cell>
          <cell r="E152" t="str">
            <v>Traffic Senior Executive</v>
          </cell>
          <cell r="G152">
            <v>3.6</v>
          </cell>
          <cell r="H152">
            <v>3.8</v>
          </cell>
        </row>
        <row r="153">
          <cell r="B153" t="str">
            <v>Ramzi Adil Ghanem</v>
          </cell>
          <cell r="C153" t="str">
            <v>Riyadh</v>
          </cell>
          <cell r="D153" t="str">
            <v>Client Growth</v>
          </cell>
          <cell r="E153" t="str">
            <v>Client Growth Lead</v>
          </cell>
          <cell r="G153">
            <v>5</v>
          </cell>
          <cell r="H153">
            <v>5</v>
          </cell>
        </row>
        <row r="154">
          <cell r="B154" t="str">
            <v>Rawan Rami Mughrabi</v>
          </cell>
          <cell r="C154" t="str">
            <v>Dubai</v>
          </cell>
          <cell r="D154" t="str">
            <v>Traffic</v>
          </cell>
          <cell r="E154" t="str">
            <v>Traffic Executive</v>
          </cell>
          <cell r="G154">
            <v>4</v>
          </cell>
          <cell r="H154">
            <v>4</v>
          </cell>
        </row>
        <row r="155">
          <cell r="B155" t="str">
            <v>Razan Faisal Jamaan Alghamdi</v>
          </cell>
          <cell r="C155" t="str">
            <v>Riyadh</v>
          </cell>
          <cell r="D155" t="str">
            <v>Client Growth</v>
          </cell>
          <cell r="E155" t="str">
            <v>Client Growth Executive</v>
          </cell>
          <cell r="G155">
            <v>0</v>
          </cell>
          <cell r="H155">
            <v>4.3</v>
          </cell>
        </row>
        <row r="156">
          <cell r="B156" t="str">
            <v>Razan Mansour Alkhraiji</v>
          </cell>
          <cell r="C156" t="str">
            <v>Riyadh</v>
          </cell>
          <cell r="D156" t="str">
            <v>Legal</v>
          </cell>
          <cell r="E156" t="str">
            <v>Legal Counsel</v>
          </cell>
          <cell r="G156"/>
          <cell r="H156"/>
        </row>
        <row r="157">
          <cell r="B157" t="str">
            <v>Mohannad  Hesham Mohamed Khalaf</v>
          </cell>
          <cell r="C157" t="str">
            <v>Cairo</v>
          </cell>
          <cell r="D157" t="str">
            <v>Finance</v>
          </cell>
          <cell r="E157" t="str">
            <v>Treasury Senior Accountant</v>
          </cell>
          <cell r="G157">
            <v>3</v>
          </cell>
          <cell r="H157">
            <v>3</v>
          </cell>
        </row>
        <row r="158">
          <cell r="B158" t="str">
            <v xml:space="preserve">Richard  William  Edward Addington </v>
          </cell>
          <cell r="C158" t="str">
            <v>Dubai</v>
          </cell>
          <cell r="D158" t="str">
            <v>Agency Partnerships</v>
          </cell>
          <cell r="E158" t="str">
            <v>Agency Partnerships Lead</v>
          </cell>
          <cell r="G158">
            <v>5</v>
          </cell>
          <cell r="H158">
            <v>5</v>
          </cell>
        </row>
        <row r="159">
          <cell r="B159" t="str">
            <v>Rinaldo Itani</v>
          </cell>
          <cell r="C159" t="str">
            <v>Dubai</v>
          </cell>
          <cell r="D159" t="str">
            <v>Agency Partnerships</v>
          </cell>
          <cell r="E159" t="str">
            <v>Agency Partnerships Senior Executive</v>
          </cell>
          <cell r="G159">
            <v>4.5</v>
          </cell>
          <cell r="H159">
            <v>4.3</v>
          </cell>
        </row>
        <row r="160">
          <cell r="B160" t="str">
            <v>Roba Ahmed Abdelmetaal Omar</v>
          </cell>
          <cell r="C160" t="str">
            <v>Cairo</v>
          </cell>
          <cell r="D160" t="str">
            <v>Marketing</v>
          </cell>
          <cell r="E160" t="str">
            <v>Marketing and Analytics Manager</v>
          </cell>
          <cell r="G160"/>
          <cell r="H160"/>
        </row>
        <row r="161">
          <cell r="B161" t="str">
            <v>Noor Adbdulrahman Rasheed Alrasheed</v>
          </cell>
          <cell r="C161" t="str">
            <v>Riyadh</v>
          </cell>
          <cell r="D161" t="str">
            <v>Finance</v>
          </cell>
          <cell r="E161" t="str">
            <v>Accountant Executive</v>
          </cell>
          <cell r="G161">
            <v>3</v>
          </cell>
          <cell r="H161">
            <v>3</v>
          </cell>
        </row>
        <row r="162">
          <cell r="B162" t="str">
            <v>Roenelle Flor Villegas</v>
          </cell>
          <cell r="C162" t="str">
            <v>Dubai</v>
          </cell>
          <cell r="D162" t="str">
            <v>Traffic</v>
          </cell>
          <cell r="E162" t="str">
            <v>Senior Traffic Executive</v>
          </cell>
          <cell r="G162">
            <v>3.6</v>
          </cell>
          <cell r="H162">
            <v>3.5</v>
          </cell>
        </row>
        <row r="163">
          <cell r="B163" t="str">
            <v>Ronald Emile Sawaya</v>
          </cell>
          <cell r="C163" t="str">
            <v>Riyadh</v>
          </cell>
          <cell r="D163" t="str">
            <v>Client Growth</v>
          </cell>
          <cell r="E163" t="str">
            <v>Client Growth Director</v>
          </cell>
          <cell r="G163">
            <v>4.9000000000000004</v>
          </cell>
          <cell r="H163">
            <v>4.7</v>
          </cell>
        </row>
        <row r="164">
          <cell r="B164" t="str">
            <v xml:space="preserve">Ronalyn  San Juan </v>
          </cell>
          <cell r="C164" t="str">
            <v>Dubai</v>
          </cell>
          <cell r="D164" t="str">
            <v>Traffic</v>
          </cell>
          <cell r="E164" t="str">
            <v>Senior Traffic Executive</v>
          </cell>
          <cell r="G164">
            <v>3.9</v>
          </cell>
          <cell r="H164">
            <v>3.7</v>
          </cell>
        </row>
        <row r="165">
          <cell r="B165" t="str">
            <v>Samy Abdel Sabour Mohamed Ahmed</v>
          </cell>
          <cell r="C165" t="str">
            <v>Cairo</v>
          </cell>
          <cell r="D165" t="str">
            <v>Finance</v>
          </cell>
          <cell r="E165" t="str">
            <v>Collection Officer</v>
          </cell>
          <cell r="G165">
            <v>3</v>
          </cell>
          <cell r="H165">
            <v>3</v>
          </cell>
        </row>
        <row r="166">
          <cell r="B166" t="str">
            <v>Salma Zakareya abdelazim Ahmed Ali</v>
          </cell>
          <cell r="C166" t="str">
            <v>Cairo</v>
          </cell>
          <cell r="D166" t="str">
            <v>Agency Partnerships</v>
          </cell>
          <cell r="E166" t="str">
            <v>Sales Supervisor</v>
          </cell>
          <cell r="G166">
            <v>4.4000000000000004</v>
          </cell>
          <cell r="H166">
            <v>4.8</v>
          </cell>
        </row>
        <row r="167">
          <cell r="B167" t="str">
            <v>Salman Iqbal Mansoori</v>
          </cell>
          <cell r="C167" t="str">
            <v>Dubai</v>
          </cell>
          <cell r="D167" t="str">
            <v>Traffic</v>
          </cell>
          <cell r="E167" t="str">
            <v>Supervisor Traffic Executive - Digital</v>
          </cell>
          <cell r="G167">
            <v>5</v>
          </cell>
          <cell r="H167">
            <v>4.8</v>
          </cell>
        </row>
        <row r="168">
          <cell r="B168" t="str">
            <v xml:space="preserve">Samantha Rose  Coutinho </v>
          </cell>
          <cell r="C168" t="str">
            <v>Dubai</v>
          </cell>
          <cell r="D168" t="str">
            <v>Admin</v>
          </cell>
          <cell r="E168" t="str">
            <v>Office Manager</v>
          </cell>
          <cell r="G168">
            <v>4.5</v>
          </cell>
          <cell r="H168">
            <v>4.2</v>
          </cell>
        </row>
        <row r="169">
          <cell r="B169" t="str">
            <v>Norah Abdullah Hamdan Alhamdan</v>
          </cell>
          <cell r="C169" t="str">
            <v>Riyadh</v>
          </cell>
          <cell r="D169" t="str">
            <v>Finance</v>
          </cell>
          <cell r="E169" t="str">
            <v>Assistant Treasury Accountant</v>
          </cell>
          <cell r="G169">
            <v>0</v>
          </cell>
          <cell r="H169">
            <v>3.5</v>
          </cell>
        </row>
        <row r="170">
          <cell r="B170" t="str">
            <v xml:space="preserve">Sarah Nammour </v>
          </cell>
          <cell r="C170" t="str">
            <v>Dubai</v>
          </cell>
          <cell r="D170" t="str">
            <v>Client Growth</v>
          </cell>
          <cell r="E170" t="str">
            <v>Client Growth Senior Manager</v>
          </cell>
          <cell r="G170"/>
          <cell r="H170"/>
        </row>
        <row r="171">
          <cell r="B171" t="str">
            <v>Shaden Abdullah Abdullatif Alobaid</v>
          </cell>
          <cell r="C171" t="str">
            <v>Riyadh</v>
          </cell>
          <cell r="D171" t="str">
            <v>HR</v>
          </cell>
          <cell r="E171" t="str">
            <v>HR Executive</v>
          </cell>
          <cell r="G171">
            <v>3.4</v>
          </cell>
          <cell r="H171">
            <v>3.3</v>
          </cell>
        </row>
        <row r="172">
          <cell r="B172" t="str">
            <v>Shahad Sultan Saad Alruzayq</v>
          </cell>
          <cell r="C172" t="str">
            <v>Riyadh</v>
          </cell>
          <cell r="D172" t="str">
            <v>Executive - CEO Office</v>
          </cell>
          <cell r="E172" t="str">
            <v>PMO Senior Manager</v>
          </cell>
          <cell r="G172">
            <v>5</v>
          </cell>
          <cell r="H172">
            <v>5</v>
          </cell>
        </row>
        <row r="173">
          <cell r="B173" t="str">
            <v>Sheemah Sultan Hammad Alharthi</v>
          </cell>
          <cell r="C173" t="str">
            <v>Riyadh</v>
          </cell>
          <cell r="D173" t="str">
            <v>Research</v>
          </cell>
          <cell r="E173" t="str">
            <v>Integrated Planning Executive</v>
          </cell>
          <cell r="G173">
            <v>4</v>
          </cell>
          <cell r="H173">
            <v>4</v>
          </cell>
        </row>
        <row r="174">
          <cell r="B174" t="str">
            <v>Shefali Hareshbhai Lakhani</v>
          </cell>
          <cell r="C174" t="str">
            <v>Dubai</v>
          </cell>
          <cell r="D174" t="str">
            <v>Tech Ops - ERP</v>
          </cell>
          <cell r="E174" t="str">
            <v>ERP Fusion Financial Managing Consultant</v>
          </cell>
          <cell r="G174"/>
          <cell r="H174"/>
        </row>
        <row r="175">
          <cell r="B175" t="str">
            <v>Sherif Khalid Hassan Samak</v>
          </cell>
          <cell r="C175" t="str">
            <v>Riyadh</v>
          </cell>
          <cell r="D175" t="str">
            <v>Research</v>
          </cell>
          <cell r="E175" t="str">
            <v>Integrated Planning Manager</v>
          </cell>
          <cell r="G175">
            <v>4.9000000000000004</v>
          </cell>
          <cell r="H175">
            <v>4.7</v>
          </cell>
        </row>
        <row r="176">
          <cell r="B176" t="str">
            <v>Stephanie Trinidad Gumpal</v>
          </cell>
          <cell r="C176" t="str">
            <v>Dubai</v>
          </cell>
          <cell r="D176" t="str">
            <v>Traffic</v>
          </cell>
          <cell r="E176" t="str">
            <v>Senior Traffic Operations</v>
          </cell>
          <cell r="G176">
            <v>4.4000000000000004</v>
          </cell>
          <cell r="H176">
            <v>4</v>
          </cell>
        </row>
        <row r="177">
          <cell r="B177" t="str">
            <v>Sultan Faisal Biary</v>
          </cell>
          <cell r="C177" t="str">
            <v>Riyadh</v>
          </cell>
          <cell r="D177" t="str">
            <v>Client Growth</v>
          </cell>
          <cell r="E177" t="str">
            <v>Client Growth Senior Manager</v>
          </cell>
          <cell r="G177">
            <v>4.8</v>
          </cell>
          <cell r="H177">
            <v>5</v>
          </cell>
        </row>
        <row r="178">
          <cell r="B178" t="str">
            <v>Tarek Mohamed Lotfy Adel Eldeeb</v>
          </cell>
          <cell r="C178" t="str">
            <v>Cairo</v>
          </cell>
          <cell r="D178" t="str">
            <v>Traffic</v>
          </cell>
          <cell r="E178" t="str">
            <v>Traffic Manager</v>
          </cell>
          <cell r="G178">
            <v>4.2</v>
          </cell>
          <cell r="H178">
            <v>3.7</v>
          </cell>
        </row>
        <row r="179">
          <cell r="B179" t="str">
            <v>Tarik Mohamed Youssif Badawy Shakweir</v>
          </cell>
          <cell r="C179" t="str">
            <v>Dubai</v>
          </cell>
          <cell r="D179" t="str">
            <v>Traffic</v>
          </cell>
          <cell r="E179" t="str">
            <v>Senior Traffic Executive - Digital</v>
          </cell>
          <cell r="G179">
            <v>4.5</v>
          </cell>
          <cell r="H179">
            <v>4.2</v>
          </cell>
        </row>
        <row r="180">
          <cell r="B180" t="str">
            <v>Wafa  Osama  Methqal Abdeldayem</v>
          </cell>
          <cell r="C180" t="str">
            <v>Dubai</v>
          </cell>
          <cell r="D180" t="str">
            <v>Research</v>
          </cell>
          <cell r="E180" t="str">
            <v>Integrated Planning Senior Executive</v>
          </cell>
          <cell r="G180">
            <v>4.5999999999999996</v>
          </cell>
          <cell r="H180">
            <v>5</v>
          </cell>
        </row>
        <row r="181">
          <cell r="B181" t="str">
            <v>Waheeb Mohammed Ibrahim Al Shammari</v>
          </cell>
          <cell r="C181" t="str">
            <v>Riyadh</v>
          </cell>
          <cell r="D181" t="str">
            <v>Marketing</v>
          </cell>
          <cell r="E181" t="str">
            <v>Public Relation Manager</v>
          </cell>
          <cell r="G181">
            <v>3.3</v>
          </cell>
          <cell r="H181">
            <v>3</v>
          </cell>
        </row>
        <row r="182">
          <cell r="B182" t="str">
            <v>Waleed Elsaied Elessawey Ahmed</v>
          </cell>
          <cell r="C182" t="str">
            <v>Cairo</v>
          </cell>
          <cell r="D182" t="str">
            <v>Executive</v>
          </cell>
          <cell r="E182" t="str">
            <v>Managing Director</v>
          </cell>
        </row>
        <row r="183">
          <cell r="B183" t="str">
            <v>Yokesh Srinivasan</v>
          </cell>
          <cell r="C183" t="str">
            <v>Dubai</v>
          </cell>
          <cell r="D183" t="str">
            <v>Traffic</v>
          </cell>
          <cell r="E183" t="str">
            <v>Senior Traffic Executive - Digital</v>
          </cell>
          <cell r="G183">
            <v>4.8</v>
          </cell>
          <cell r="H183">
            <v>4.7</v>
          </cell>
        </row>
        <row r="184">
          <cell r="B184" t="str">
            <v>Youmna Malek Chehab</v>
          </cell>
          <cell r="C184" t="str">
            <v>Dubai</v>
          </cell>
          <cell r="D184" t="str">
            <v>Digital Social Media</v>
          </cell>
          <cell r="E184" t="str">
            <v>Digital Commercial Manager</v>
          </cell>
          <cell r="G184">
            <v>4</v>
          </cell>
          <cell r="H184">
            <v>3.8</v>
          </cell>
        </row>
        <row r="185">
          <cell r="B185" t="str">
            <v>Yousra Saeed Ahmed Farahat</v>
          </cell>
          <cell r="C185" t="str">
            <v>Cairo</v>
          </cell>
          <cell r="D185" t="str">
            <v>Agency Partnerships</v>
          </cell>
          <cell r="E185" t="str">
            <v>Associate Client Service Manager</v>
          </cell>
          <cell r="G185">
            <v>4.5</v>
          </cell>
          <cell r="H185">
            <v>4</v>
          </cell>
        </row>
        <row r="186">
          <cell r="B186" t="str">
            <v>Youssef Hesham Mahmoud Hassan</v>
          </cell>
          <cell r="C186" t="str">
            <v>Cairo</v>
          </cell>
          <cell r="D186" t="str">
            <v>Traffic</v>
          </cell>
          <cell r="E186" t="str">
            <v>Traffic Senior Executive</v>
          </cell>
          <cell r="G186">
            <v>3.5</v>
          </cell>
          <cell r="H186">
            <v>3.5</v>
          </cell>
        </row>
        <row r="187">
          <cell r="B187" t="str">
            <v>Ziyad Mohammed Othman Alomair</v>
          </cell>
          <cell r="C187" t="str">
            <v>Riyadh</v>
          </cell>
          <cell r="D187" t="str">
            <v>Client Growth</v>
          </cell>
          <cell r="E187" t="str">
            <v>Client Growth Lead</v>
          </cell>
          <cell r="G187">
            <v>5</v>
          </cell>
          <cell r="H187">
            <v>5</v>
          </cell>
        </row>
      </sheetData>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5213FA5-F17E-4ED8-8343-7B3C7EBDBFEB}" sourceName="Location">
  <extLst>
    <x:ext xmlns:x15="http://schemas.microsoft.com/office/spreadsheetml/2010/11/main" uri="{2F2917AC-EB37-4324-AD4E-5DD8C200BD13}">
      <x15:tableSlicerCache tableId="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8C311608-299C-478E-B39C-D374FEE76E51}" sourceName="Location">
  <extLst>
    <x:ext xmlns:x15="http://schemas.microsoft.com/office/spreadsheetml/2010/11/main" uri="{2F2917AC-EB37-4324-AD4E-5DD8C200BD13}">
      <x15:tableSlicerCache tableId="7"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B1ACDC-3FE9-43A0-B371-37BD800A5059}" sourceName="Department">
  <extLst>
    <x:ext xmlns:x15="http://schemas.microsoft.com/office/spreadsheetml/2010/11/main" uri="{2F2917AC-EB37-4324-AD4E-5DD8C200BD13}">
      <x15:tableSlicerCache tableId="7"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D20F09A-2530-4748-B574-C0F2BA0BD926}" sourceName="Department">
  <extLst>
    <x:ext xmlns:x15="http://schemas.microsoft.com/office/spreadsheetml/2010/11/main" uri="{2F2917AC-EB37-4324-AD4E-5DD8C200BD13}">
      <x15:tableSlicerCache tableId="6"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22C5EB9A-58DD-425D-9196-B508EC005D66}" sourceName="Department">
  <extLst>
    <x:ext xmlns:x15="http://schemas.microsoft.com/office/spreadsheetml/2010/11/main" uri="{2F2917AC-EB37-4324-AD4E-5DD8C200BD13}">
      <x15:tableSlicerCache tableId="8"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A2245472-E51C-4EAD-A350-322DD87CCD44}" sourceName="Location">
  <extLst>
    <x:ext xmlns:x15="http://schemas.microsoft.com/office/spreadsheetml/2010/11/main" uri="{2F2917AC-EB37-4324-AD4E-5DD8C200BD13}">
      <x15:tableSlicerCache tableId="8"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B010A92A-A9D3-498B-814F-F2E11016DCA1}" cache="Slicer_Location" caption="Location" columnCount="3" rowHeight="241300"/>
  <slicer name="Department 1" xr10:uid="{99CBBE26-6544-44CD-8623-7EFBBEC73A5C}" cache="Slicer_Department1" caption="Department"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BF7C5A22-A350-4C34-A04D-55D1B047716F}" cache="Slicer_Location1" caption="Location" columnCount="3" rowHeight="241300"/>
  <slicer name="Department" xr10:uid="{42F3C343-A255-4B3C-B627-510E78C021DE}" cache="Slicer_Department" caption="Department" columnCount="3"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CF80761-A8AB-4749-B0B2-B8D954E16567}" cache="Slicer_Department2" caption="Department" columnCount="3" rowHeight="241300"/>
  <slicer name="Location 3" xr10:uid="{E4AC5E29-25B4-44E2-88C5-37B79FE8472F}" cache="Slicer_Location2" caption="Location"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C78038-CA21-44AC-B0F7-FB9A5452EAE1}" name="Table2" displayName="Table2" ref="G3:J6" headerRowCount="0" totalsRowShown="0" headerRowDxfId="78" dataDxfId="77" tableBorderDxfId="76" totalsRowBorderDxfId="75">
  <tableColumns count="4">
    <tableColumn id="1" xr3:uid="{6D0D9E5C-82C7-440B-AF0B-3682E3DF6BFC}" name="Column1" headerRowDxfId="74" dataDxfId="73"/>
    <tableColumn id="2" xr3:uid="{BE8D6FF9-61CA-4071-B651-F6F194D1AB04}" name="Column2" headerRowDxfId="72" dataDxfId="71"/>
    <tableColumn id="3" xr3:uid="{1005BDFE-7174-4C75-A40E-7B41BB02D64F}" name="Column3" headerRowDxfId="70" dataDxfId="69"/>
    <tableColumn id="4" xr3:uid="{F8A3EF9C-3482-4232-9C61-C1F27CDA6BBC}" name="Column4" dataDxfId="68"/>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9E5C6-5423-4749-8B56-88661803E674}" name="Table12" displayName="Table12" ref="P19:S28" headerRowCount="0" totalsRowShown="0" headerRowDxfId="67" tableBorderDxfId="66" totalsRowBorderDxfId="65">
  <tableColumns count="4">
    <tableColumn id="1" xr3:uid="{296420DF-42FC-45A9-BB0D-FE1B6C2F81FF}" name="Column1" headerRowDxfId="64" dataDxfId="63"/>
    <tableColumn id="2" xr3:uid="{634C6F9F-3BBC-4D74-BDDE-5DF5DF9F9DCD}" name="Column2" headerRowDxfId="62" dataDxfId="61"/>
    <tableColumn id="3" xr3:uid="{B6D17019-F055-439F-A182-B1BD306C96B5}" name="Column3" headerRowDxfId="60" dataDxfId="59"/>
    <tableColumn id="4" xr3:uid="{040937A6-586A-4091-B664-EFEC631F5F00}" name="Column4" headerRowDxfId="58" dataDxfId="5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04FF08-5632-4FA7-9116-D7D25FEB124E}" name="Table6" displayName="Table6" ref="A10:M129" totalsRowShown="0" headerRowDxfId="56" dataDxfId="54" headerRowBorderDxfId="55" tableBorderDxfId="53" totalsRowBorderDxfId="52">
  <autoFilter ref="A10:M129" xr:uid="{A1558290-F9BD-4D0A-99E5-1A27763BA52B}"/>
  <tableColumns count="13">
    <tableColumn id="1" xr3:uid="{F6B9C7F8-E633-4B65-8E1B-FB5DE8E4F0DA}" name="Employee Number" dataDxfId="51"/>
    <tableColumn id="2" xr3:uid="{BAD51658-1BC6-475F-9E01-870FBD255F56}" name="Employee Name" dataDxfId="50"/>
    <tableColumn id="3" xr3:uid="{B03E65E6-08A0-4F72-9CA3-C9120682B13B}" name="Joining Date" dataDxfId="49">
      <calculatedColumnFormula>_xlfn.XLOOKUP(A11,Table8[Employee Number],Table8[Joining Date],"")</calculatedColumnFormula>
    </tableColumn>
    <tableColumn id="4" xr3:uid="{8B73DA99-705D-44AA-944D-877C636B4ADF}" name="Location" dataDxfId="48"/>
    <tableColumn id="5" xr3:uid="{C321D776-0D34-429D-8697-FB9ED71370FD}" name="Department" dataDxfId="47"/>
    <tableColumn id="6" xr3:uid="{85A0EF39-7A9F-4CB4-9AFA-B5D2368E8D5C}" name="Position" dataDxfId="46"/>
    <tableColumn id="7" xr3:uid="{67BD9017-0F98-4E28-BDC4-349D66EAECFF}" name="App Line Manager" dataDxfId="45"/>
    <tableColumn id="8" xr3:uid="{8BC31023-46B5-4915-B838-42707112B6F0}" name="Objectives and Competency Score" dataDxfId="44">
      <calculatedColumnFormula>AVERAGE(I11,J11)</calculatedColumnFormula>
    </tableColumn>
    <tableColumn id="9" xr3:uid="{4D0F0D81-6CD9-430B-87A2-3DE82BDA6A65}" name="Objectives Score" dataDxfId="43"/>
    <tableColumn id="10" xr3:uid="{417DEC93-E3A5-4EC9-9650-5BAAE419E967}" name="Overall Competency Score" dataDxfId="42"/>
    <tableColumn id="11" xr3:uid="{DDADA6C4-EBE1-45AD-912B-9E87B5DD5B47}" name="Perforamnce Zone " dataDxfId="41">
      <calculatedColumnFormula>IF(H11="","",
IF(OR(H11="NR",H11="NA"),"NA",
IF(H11&lt;$I$3,"Poor",
IF(H11&lt;$I$4,"Average","High")
)))</calculatedColumnFormula>
    </tableColumn>
    <tableColumn id="12" xr3:uid="{8C6FF432-CEA9-4543-B074-E58D79EA0DC5}" name="Potential Zone" dataDxfId="40">
      <calculatedColumnFormula>IF(J11="","",
IF(OR(J11="NR",J11="NA"),"NA",
IF(J11&lt;$L$3,"Low",
IF(J11&lt;$L$4,"Medium","High")
)))</calculatedColumnFormula>
    </tableColumn>
    <tableColumn id="13" xr3:uid="{A1340643-B18C-4607-8B81-1455A4DA5E1E}" name="Gird Zone" dataDxfId="39">
      <calculatedColumnFormula>IF(OR(K11="",L11=""),"",
IF(AND(K11=$H$5,L11=$K$5),"3C",
IF(AND(K11=$H$4,L11=$K$5),"3B",
IF(AND(K11=$H$3,L11=$K$5),"3A",
IF(AND(K11=$H$5,L11=$K$4),"2C",
IF(AND(K11=$H$4,L11=$K$4),"2B",
IF(AND(K11=$H$3,L11=$K$4),"2A",
IF(AND(K11=$H$5,L11=$K$3),"1C",
IF(AND(K11=$H$4,L11=$K$3),"1B",
IF(AND(K11=$H$3,L11=$K$3),"1A","")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5AF754-10C0-4358-B29D-B764A2BCFEB7}" name="Table123" displayName="Table123" ref="P19:S28" headerRowCount="0" totalsRowShown="0" headerRowDxfId="38" tableBorderDxfId="37" totalsRowBorderDxfId="36">
  <tableColumns count="4">
    <tableColumn id="1" xr3:uid="{680FAF59-0249-45B4-8DFE-ACE96404F6AA}" name="Column1" headerRowDxfId="35" dataDxfId="34"/>
    <tableColumn id="2" xr3:uid="{145D7F5C-4776-4FDB-A05A-800B1CEFD584}" name="Column2" headerRowDxfId="33" dataDxfId="32"/>
    <tableColumn id="3" xr3:uid="{B4D0886E-01BC-4635-9BCC-B625A4A552DB}" name="Column3" headerRowDxfId="31" dataDxfId="30"/>
    <tableColumn id="4" xr3:uid="{D539DB68-D433-4CDF-931F-D78DE2DFC440}" name="Column4" headerRowDxfId="29" dataDxfId="28"/>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08423D-C4DF-4D55-9D2C-EF413E5AB898}" name="Table7" displayName="Table7" ref="A9:M159" totalsRowShown="0" headerRowDxfId="27" headerRowBorderDxfId="26" tableBorderDxfId="25" totalsRowBorderDxfId="24">
  <autoFilter ref="A9:M159" xr:uid="{41F760D4-18B5-4DA3-A90A-982A1C60FA84}"/>
  <sortState xmlns:xlrd2="http://schemas.microsoft.com/office/spreadsheetml/2017/richdata2" ref="A10:M159">
    <sortCondition ref="B9:B159"/>
  </sortState>
  <tableColumns count="13">
    <tableColumn id="1" xr3:uid="{1B4B187C-15F8-4839-A300-6630BFE46536}" name="Employee Number" dataDxfId="23"/>
    <tableColumn id="2" xr3:uid="{6100C5AB-07F6-4934-B176-72C1014FC97B}" name="Employee Name" dataDxfId="22"/>
    <tableColumn id="3" xr3:uid="{EF52CF5C-14D0-46A9-97F9-886A6A9AB524}" name="Joining Date" dataDxfId="21">
      <calculatedColumnFormula>_xlfn.XLOOKUP(A10,Table8[Employee Number],Table8[Joining Date],"")</calculatedColumnFormula>
    </tableColumn>
    <tableColumn id="4" xr3:uid="{B7291FFA-B2D8-42A1-AF92-A082EE6D8047}" name="Location" dataDxfId="20"/>
    <tableColumn id="5" xr3:uid="{60A62098-A2A6-4830-9356-894170ED61C4}" name="Department" dataDxfId="19"/>
    <tableColumn id="6" xr3:uid="{252E2B4D-758D-4FFF-AC1F-677B1C16F5B4}" name="Position" dataDxfId="18"/>
    <tableColumn id="7" xr3:uid="{D15E3FBE-E43C-4958-8AA3-46FD0B0136DC}" name="App Line Manager" dataDxfId="17"/>
    <tableColumn id="8" xr3:uid="{7E025EC6-0AE6-435C-AEA6-E69C4BD0EE3E}" name="Objectives and Competency Score" dataDxfId="16"/>
    <tableColumn id="9" xr3:uid="{6AD60F8E-6201-4537-A736-5C26FA3849C4}" name="Objectives Score" dataDxfId="15"/>
    <tableColumn id="10" xr3:uid="{212667BD-2184-4C8D-9CDA-A0E50F80A502}" name="Overall Competency Score" dataDxfId="14"/>
    <tableColumn id="11" xr3:uid="{781A16A8-C1A7-4690-B023-435849219B59}" name="Perforamnce Zone " dataDxfId="13">
      <calculatedColumnFormula>IF(H10="","",
IF(OR(H10="NR",H10="NA"),"NA",
IF(H10&lt;$I$3,$H$3,
IF(H10&lt;$I$4,$H$4,$H$5)
)))</calculatedColumnFormula>
    </tableColumn>
    <tableColumn id="12" xr3:uid="{39382B8D-BD11-462F-85AE-D4AEDF33B5E1}" name="Potential zone" dataDxfId="12">
      <calculatedColumnFormula>IF(J10="","",
IF(OR(J10="NR",J10="NA"),"NA",
IF(J10&lt;$L$3,$K$3,
IF(J10&lt;$L$4,$K$4,$K$5)
)))</calculatedColumnFormula>
    </tableColumn>
    <tableColumn id="13" xr3:uid="{33F4FC04-8135-4A1D-B276-C2518AC16C20}" name="Grid Zone" dataDxfId="11">
      <calculatedColumnFormula>IF(OR(K10="",L10=""),"",
IF(AND(K10=$H$5,L10=$K$5),"3C",
IF(AND(K10=$H$4,L10=$K$5),"3B",
IF(AND(K10=$H$3,L10=$K$5),"3A",
IF(AND(K10=$H$5,L10=$K$4),"2C",
IF(AND(K10=$H$4,L10=$K$4),"2B",
IF(AND(K10=$H$3,L10=$K$4),"2A",
IF(AND(K10=$H$5,L10=$K$3),"1C",
IF(AND(K10=$H$4,L10=$K$3),"1B",
IF(AND(K10=$H$3,L10=$K$3),"1A","")
)))))))))</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30DDA2-9CF1-497E-817B-3C52BD0CE35E}" name="Table1234" displayName="Table1234" ref="P19:S28" headerRowCount="0" totalsRowShown="0" headerRowDxfId="10" tableBorderDxfId="9" totalsRowBorderDxfId="8">
  <tableColumns count="4">
    <tableColumn id="1" xr3:uid="{A85B4F80-0FFD-4DE6-93C5-B464C1DAD850}" name="Column1" headerRowDxfId="7" dataDxfId="6"/>
    <tableColumn id="2" xr3:uid="{461F2E03-4AB0-4160-AF30-A72689D40AD4}" name="Column2" headerRowDxfId="5" dataDxfId="4"/>
    <tableColumn id="3" xr3:uid="{25653679-8A86-4351-801E-DAB257A2A55F}" name="Column3" headerRowDxfId="3" dataDxfId="2"/>
    <tableColumn id="4" xr3:uid="{A80F66CE-33B6-4834-956E-39C55EC8005B}" name="Column4" headerRowDxfId="1" dataDxfId="0"/>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16FCFB-66EE-4428-95D3-D4207379A1AD}" name="Table8" displayName="Table8" ref="A13:M209" totalsRowShown="0" headerRowDxfId="96" dataDxfId="94" headerRowBorderDxfId="95" tableBorderDxfId="93" totalsRowBorderDxfId="92">
  <autoFilter ref="A13:M209" xr:uid="{6F2D7BCE-FD04-4991-A07B-8BD1C3927B50}">
    <filterColumn colId="4">
      <filters>
        <filter val="Agency Partnerships"/>
        <filter val="Client Growth"/>
      </filters>
    </filterColumn>
  </autoFilter>
  <sortState xmlns:xlrd2="http://schemas.microsoft.com/office/spreadsheetml/2017/richdata2" ref="A14:M209">
    <sortCondition ref="B13:B209"/>
  </sortState>
  <tableColumns count="13">
    <tableColumn id="1" xr3:uid="{8D14C0B8-85AC-40A4-8D60-086D72E1C75D}" name="Employee Number" dataDxfId="91"/>
    <tableColumn id="2" xr3:uid="{A7DAFA18-B786-467A-92E9-D4A3E3A4414E}" name="Employee Name" dataDxfId="90"/>
    <tableColumn id="3" xr3:uid="{3B0D70F3-B476-465D-BAEE-E7C21F5D7942}" name="Joining Date" dataDxfId="89"/>
    <tableColumn id="4" xr3:uid="{1B58C669-4484-44B5-AC83-39FA0B5B4285}" name="Location" dataDxfId="88"/>
    <tableColumn id="5" xr3:uid="{F42F28A9-A373-4C31-BB2E-69BA63E8B954}" name="Department" dataDxfId="87"/>
    <tableColumn id="6" xr3:uid="{AD56D8C0-CB37-41A2-840B-240C108A18E5}" name="Position" dataDxfId="86"/>
    <tableColumn id="7" xr3:uid="{A7437D02-5C91-4DBC-ABE8-D1B4D3FC01C3}" name="App Line Manager" dataDxfId="85"/>
    <tableColumn id="8" xr3:uid="{C26B8BC6-5D00-4C48-AFDD-31A4FA4512B9}" name="Objectives and Competency Score" dataDxfId="84"/>
    <tableColumn id="9" xr3:uid="{AF08C3A3-8B9D-48AE-8ACF-34097B63E5FA}" name="Objectives Score" dataDxfId="83"/>
    <tableColumn id="10" xr3:uid="{17EEA3F3-59FA-4660-8050-18C14B13EBF0}" name="Overall Competency Score" dataDxfId="82"/>
    <tableColumn id="11" xr3:uid="{31FF6247-FAF5-409B-94C1-30E49823C454}" name="Perforamnce Zone " dataDxfId="81">
      <calculatedColumnFormula>IF(H14="","",
IF(OR(H14="NR",H14="NA"),"NA",
IF(H14&lt;$K$4,$J$4,
IF(H14&lt;$K$5,$J$5,$J$6)
)))</calculatedColumnFormula>
    </tableColumn>
    <tableColumn id="12" xr3:uid="{439F246E-FB37-46BA-A8D5-C4C831BAF84A}" name="Potential zone" dataDxfId="80">
      <calculatedColumnFormula>IF(J14="","",
IF(OR(J14="NR",J14="NA"),"NA",
IF(J14&lt;$N$4,$M$4,
IF(J14&lt;$N$5,$M$5,$M$6)
)))</calculatedColumnFormula>
    </tableColumn>
    <tableColumn id="13" xr3:uid="{346957BE-F134-421C-9406-C079103A3BA6}" name="Grid Zone " dataDxfId="79">
      <calculatedColumnFormula>IF(OR(K14="",L14=""),"",
IF(AND(K14=$J$6,L14=$M$6),"3C",
IF(AND(K14=$J$5,L14=$M$6),"3B",
IF(AND(K14=$J$4,L14=$M$6),"3A",
IF(AND(K14=$J$6,L14=$M$5),"2C",
IF(AND(K14=$J$5,L14=$M$5),"2B",
IF(AND(K14=$J$4,L14=$M$5),"2A",
IF(AND(K14=$J$6,L14=$M$4),"1C",
IF(AND(K14=$J$5,L14=$M$4),"1B",
IF(AND(K14=$J$4,L14=$M$4),"1A","")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B6E3-DEEF-47F3-9479-0C1679EBFAED}">
  <dimension ref="C3:U7"/>
  <sheetViews>
    <sheetView showGridLines="0" workbookViewId="0">
      <selection activeCell="B12" sqref="B12:N13"/>
    </sheetView>
  </sheetViews>
  <sheetFormatPr defaultRowHeight="15" x14ac:dyDescent="0.25"/>
  <sheetData>
    <row r="3" spans="3:21" x14ac:dyDescent="0.25">
      <c r="C3" s="96">
        <v>2023</v>
      </c>
      <c r="D3" s="97"/>
      <c r="E3" s="97"/>
      <c r="F3" s="97"/>
      <c r="G3" s="98"/>
      <c r="J3" s="96">
        <v>2024</v>
      </c>
      <c r="K3" s="97"/>
      <c r="L3" s="97"/>
      <c r="M3" s="97"/>
      <c r="N3" s="98"/>
      <c r="Q3" s="96">
        <v>2025</v>
      </c>
      <c r="R3" s="97"/>
      <c r="S3" s="97"/>
      <c r="T3" s="97"/>
      <c r="U3" s="98"/>
    </row>
    <row r="4" spans="3:21" x14ac:dyDescent="0.25">
      <c r="C4" s="96" t="s">
        <v>533</v>
      </c>
      <c r="D4" s="97"/>
      <c r="E4" s="58" t="s">
        <v>516</v>
      </c>
      <c r="F4" s="58" t="s">
        <v>522</v>
      </c>
      <c r="G4" s="59" t="s">
        <v>529</v>
      </c>
      <c r="J4" s="96" t="s">
        <v>533</v>
      </c>
      <c r="K4" s="97"/>
      <c r="L4" s="58" t="s">
        <v>516</v>
      </c>
      <c r="M4" s="58" t="s">
        <v>522</v>
      </c>
      <c r="N4" s="59" t="s">
        <v>529</v>
      </c>
      <c r="Q4" s="96" t="s">
        <v>533</v>
      </c>
      <c r="R4" s="97"/>
      <c r="S4" s="58" t="s">
        <v>516</v>
      </c>
      <c r="T4" s="58" t="s">
        <v>522</v>
      </c>
      <c r="U4" s="59" t="s">
        <v>529</v>
      </c>
    </row>
    <row r="5" spans="3:21" x14ac:dyDescent="0.25">
      <c r="C5" s="93" t="s">
        <v>577</v>
      </c>
      <c r="D5" s="60" t="s">
        <v>529</v>
      </c>
      <c r="E5" s="52">
        <f>COUNTIF(Table6[Gird Zone],"3A")</f>
        <v>3</v>
      </c>
      <c r="F5" s="52">
        <f>COUNTIF(Table6[Gird Zone],"3B")</f>
        <v>3</v>
      </c>
      <c r="G5" s="52">
        <f>COUNTIF(Table6[Gird Zone],"3C")</f>
        <v>23</v>
      </c>
      <c r="J5" s="93" t="s">
        <v>577</v>
      </c>
      <c r="K5" s="62" t="s">
        <v>529</v>
      </c>
      <c r="L5" s="52">
        <f>COUNTIF(Table7[Grid Zone],"3A")</f>
        <v>0</v>
      </c>
      <c r="M5" s="52">
        <f>COUNTIF(Table7[Grid Zone],"3B")</f>
        <v>1</v>
      </c>
      <c r="N5" s="52">
        <f>COUNTIF(Table7[Grid Zone],"3C")</f>
        <v>36</v>
      </c>
      <c r="Q5" s="93" t="s">
        <v>577</v>
      </c>
      <c r="R5" s="62" t="s">
        <v>529</v>
      </c>
      <c r="S5" s="52">
        <f>COUNTIF(Table8[[Grid Zone ]],"3A")</f>
        <v>0</v>
      </c>
      <c r="T5" s="52">
        <f>COUNTIF(Table8[[Grid Zone ]],"3B")</f>
        <v>3</v>
      </c>
      <c r="U5" s="52">
        <f>COUNTIF(Table8[[Grid Zone ]],"3C")</f>
        <v>56</v>
      </c>
    </row>
    <row r="6" spans="3:21" x14ac:dyDescent="0.25">
      <c r="C6" s="94"/>
      <c r="D6" s="50" t="s">
        <v>576</v>
      </c>
      <c r="E6" s="52">
        <f>COUNTIF(Table6[Gird Zone],"2A")</f>
        <v>30</v>
      </c>
      <c r="F6" s="52">
        <f>COUNTIF(Table6[Gird Zone],"2B")</f>
        <v>52</v>
      </c>
      <c r="G6" s="52">
        <f>COUNTIF(Table6[Gird Zone],"2C")</f>
        <v>5</v>
      </c>
      <c r="J6" s="94"/>
      <c r="K6" s="63" t="s">
        <v>576</v>
      </c>
      <c r="L6" s="52">
        <f>COUNTIF(Table7[Grid Zone],"2A")</f>
        <v>16</v>
      </c>
      <c r="M6" s="52">
        <f>COUNTIF(Table7[Grid Zone],"2B")</f>
        <v>84</v>
      </c>
      <c r="N6" s="52">
        <f>COUNTIF(Table7[Grid Zone],"2C")</f>
        <v>2</v>
      </c>
      <c r="Q6" s="94"/>
      <c r="R6" s="63" t="s">
        <v>576</v>
      </c>
      <c r="S6" s="52">
        <f>COUNTIF(Table8[[Grid Zone ]],"2A")</f>
        <v>21</v>
      </c>
      <c r="T6" s="52">
        <f>COUNTIF(Table8[[Grid Zone ]],"2B")</f>
        <v>97</v>
      </c>
      <c r="U6" s="52">
        <f>COUNTIF(Table8[[Grid Zone ]],"2C")</f>
        <v>11</v>
      </c>
    </row>
    <row r="7" spans="3:21" x14ac:dyDescent="0.25">
      <c r="C7" s="95"/>
      <c r="D7" s="61" t="s">
        <v>579</v>
      </c>
      <c r="E7" s="59">
        <f>COUNTIF(Table6[Gird Zone],"1A")</f>
        <v>2</v>
      </c>
      <c r="F7" s="59">
        <f>COUNTIF(Table6[Gird Zone],"1B")</f>
        <v>0</v>
      </c>
      <c r="G7" s="59">
        <f>COUNTIF(Table6[Gird Zone],"1C")</f>
        <v>0</v>
      </c>
      <c r="J7" s="95"/>
      <c r="K7" s="64" t="s">
        <v>579</v>
      </c>
      <c r="L7" s="59">
        <f>COUNTIF(Table7[Grid Zone],"1A")</f>
        <v>3</v>
      </c>
      <c r="M7" s="59">
        <f>COUNTIF(Table7[Grid Zone],"1B")</f>
        <v>0</v>
      </c>
      <c r="N7" s="59">
        <f>COUNTIF(Table7[Grid Zone],"1C")</f>
        <v>0</v>
      </c>
      <c r="Q7" s="95"/>
      <c r="R7" s="64" t="s">
        <v>579</v>
      </c>
      <c r="S7" s="59">
        <f>COUNTIF(Table8[[Grid Zone ]],"1A")</f>
        <v>1</v>
      </c>
      <c r="T7" s="59">
        <f>COUNTIF(Table8[[Grid Zone ]],"1B")</f>
        <v>0</v>
      </c>
      <c r="U7" s="59">
        <f>COUNTIF(Table8[[Grid Zone ]],"1C")</f>
        <v>0</v>
      </c>
    </row>
  </sheetData>
  <mergeCells count="9">
    <mergeCell ref="Q3:U3"/>
    <mergeCell ref="Q4:R4"/>
    <mergeCell ref="Q5:Q7"/>
    <mergeCell ref="C5:C7"/>
    <mergeCell ref="C3:G3"/>
    <mergeCell ref="C4:D4"/>
    <mergeCell ref="J3:N3"/>
    <mergeCell ref="J4:K4"/>
    <mergeCell ref="J5: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5AF3-5583-43D3-A03C-03837F08FDDD}">
  <dimension ref="A2:W197"/>
  <sheetViews>
    <sheetView topLeftCell="B1" zoomScale="70" zoomScaleNormal="70" workbookViewId="0">
      <selection activeCell="B12" sqref="B12:N13"/>
    </sheetView>
  </sheetViews>
  <sheetFormatPr defaultColWidth="9.140625" defaultRowHeight="15" x14ac:dyDescent="0.25"/>
  <cols>
    <col min="1" max="2" width="11" style="25" customWidth="1"/>
    <col min="3" max="3" width="49.28515625" style="25" bestFit="1" customWidth="1"/>
    <col min="4" max="5" width="49.28515625" style="25" customWidth="1"/>
    <col min="6" max="6" width="51.28515625" style="25" bestFit="1" customWidth="1"/>
    <col min="7" max="7" width="28.85546875" style="25" bestFit="1" customWidth="1"/>
    <col min="8" max="8" width="22.5703125" style="25" hidden="1" customWidth="1"/>
    <col min="9" max="9" width="14.28515625" style="25" hidden="1" customWidth="1"/>
    <col min="10" max="10" width="19.140625" style="25" bestFit="1" customWidth="1"/>
    <col min="11" max="11" width="15.140625" style="25" hidden="1" customWidth="1"/>
    <col min="12" max="12" width="14.28515625" style="25" hidden="1" customWidth="1"/>
    <col min="13" max="13" width="16.85546875" style="25" bestFit="1" customWidth="1"/>
    <col min="14" max="14" width="15.140625" style="25" hidden="1" customWidth="1"/>
    <col min="15" max="15" width="14.28515625" style="25" hidden="1" customWidth="1"/>
    <col min="16" max="16" width="16.85546875" style="25" bestFit="1" customWidth="1"/>
    <col min="17" max="17" width="25" style="25" customWidth="1"/>
    <col min="18" max="18" width="29.28515625" style="25" bestFit="1" customWidth="1"/>
    <col min="19" max="19" width="20.5703125" style="25" bestFit="1" customWidth="1"/>
    <col min="20" max="20" width="25" style="25" bestFit="1" customWidth="1"/>
    <col min="21" max="21" width="15.5703125" style="25" customWidth="1"/>
    <col min="22" max="22" width="9.85546875" style="25" bestFit="1" customWidth="1"/>
    <col min="23" max="23" width="15.5703125" style="25" bestFit="1" customWidth="1"/>
    <col min="24" max="16384" width="9.140625" style="25"/>
  </cols>
  <sheetData>
    <row r="2" spans="1:23" x14ac:dyDescent="0.25">
      <c r="G2" s="102"/>
      <c r="H2" s="102"/>
      <c r="I2" s="102"/>
      <c r="J2" s="102"/>
    </row>
    <row r="3" spans="1:23" x14ac:dyDescent="0.25">
      <c r="E3" s="26" t="s">
        <v>509</v>
      </c>
      <c r="F3" s="27" t="s">
        <v>510</v>
      </c>
      <c r="G3" s="28" t="s">
        <v>511</v>
      </c>
      <c r="H3" s="29" t="s">
        <v>512</v>
      </c>
      <c r="I3" s="29"/>
      <c r="J3" s="30" t="s">
        <v>512</v>
      </c>
    </row>
    <row r="4" spans="1:23" x14ac:dyDescent="0.25">
      <c r="E4" s="31" t="s">
        <v>513</v>
      </c>
      <c r="F4" s="27" t="s">
        <v>514</v>
      </c>
      <c r="G4" s="32" t="s">
        <v>515</v>
      </c>
      <c r="H4" s="26" t="s">
        <v>516</v>
      </c>
      <c r="I4" s="26"/>
      <c r="J4" s="27" t="s">
        <v>517</v>
      </c>
      <c r="M4" s="25" t="s">
        <v>518</v>
      </c>
    </row>
    <row r="5" spans="1:23" x14ac:dyDescent="0.25">
      <c r="E5" s="26" t="s">
        <v>519</v>
      </c>
      <c r="F5" s="27" t="s">
        <v>520</v>
      </c>
      <c r="G5" s="32" t="s">
        <v>521</v>
      </c>
      <c r="H5" s="26" t="s">
        <v>522</v>
      </c>
      <c r="I5" s="26"/>
      <c r="J5" s="27" t="s">
        <v>523</v>
      </c>
      <c r="M5" s="25" t="s">
        <v>524</v>
      </c>
      <c r="P5" s="25" t="s">
        <v>525</v>
      </c>
    </row>
    <row r="6" spans="1:23" x14ac:dyDescent="0.25">
      <c r="E6" s="26" t="s">
        <v>526</v>
      </c>
      <c r="F6" s="27" t="s">
        <v>527</v>
      </c>
      <c r="G6" s="33" t="s">
        <v>528</v>
      </c>
      <c r="H6" s="34" t="s">
        <v>529</v>
      </c>
      <c r="I6" s="34"/>
      <c r="J6" s="35" t="s">
        <v>508</v>
      </c>
    </row>
    <row r="7" spans="1:23" x14ac:dyDescent="0.25">
      <c r="E7" s="26" t="s">
        <v>530</v>
      </c>
      <c r="F7" s="27" t="s">
        <v>531</v>
      </c>
    </row>
    <row r="9" spans="1:23" ht="26.25" x14ac:dyDescent="0.25">
      <c r="A9" s="103" t="s">
        <v>532</v>
      </c>
      <c r="B9" s="103"/>
      <c r="C9" s="103"/>
      <c r="D9" s="103"/>
      <c r="E9" s="103"/>
      <c r="F9" s="103"/>
      <c r="G9" s="103"/>
      <c r="H9" s="103"/>
      <c r="I9" s="103"/>
      <c r="J9" s="103"/>
      <c r="K9" s="103"/>
      <c r="L9" s="103"/>
      <c r="M9" s="103"/>
      <c r="N9" s="103"/>
      <c r="O9" s="103"/>
      <c r="P9" s="103"/>
      <c r="Q9" s="103"/>
      <c r="R9" s="103"/>
      <c r="S9" s="103"/>
      <c r="T9" s="36"/>
    </row>
    <row r="10" spans="1:23" x14ac:dyDescent="0.25">
      <c r="A10" s="37"/>
      <c r="B10" s="37"/>
      <c r="C10" s="37"/>
      <c r="D10" s="37"/>
      <c r="E10" s="37"/>
      <c r="F10" s="37"/>
      <c r="G10" s="37"/>
      <c r="H10" s="104" t="s">
        <v>533</v>
      </c>
      <c r="I10" s="104"/>
      <c r="J10" s="104"/>
      <c r="K10" s="104"/>
      <c r="L10" s="104"/>
      <c r="M10" s="104"/>
      <c r="N10" s="104"/>
      <c r="O10" s="38"/>
      <c r="P10" s="38"/>
      <c r="Q10" s="38"/>
      <c r="R10" s="38"/>
      <c r="S10" s="38"/>
      <c r="T10" s="38"/>
    </row>
    <row r="11" spans="1:23" x14ac:dyDescent="0.25">
      <c r="A11" s="39" t="s">
        <v>534</v>
      </c>
      <c r="B11" s="39" t="s">
        <v>535</v>
      </c>
      <c r="C11" s="39" t="s">
        <v>536</v>
      </c>
      <c r="D11" s="39" t="s">
        <v>537</v>
      </c>
      <c r="E11" s="39" t="s">
        <v>538</v>
      </c>
      <c r="F11" s="39" t="s">
        <v>5</v>
      </c>
      <c r="G11" s="39" t="s">
        <v>539</v>
      </c>
      <c r="H11" s="39" t="s">
        <v>540</v>
      </c>
      <c r="I11" s="40" t="s">
        <v>541</v>
      </c>
      <c r="J11" s="26" t="s">
        <v>542</v>
      </c>
      <c r="K11" s="39" t="s">
        <v>543</v>
      </c>
      <c r="L11" s="40" t="s">
        <v>544</v>
      </c>
      <c r="M11" s="26" t="s">
        <v>545</v>
      </c>
      <c r="N11" s="39" t="s">
        <v>546</v>
      </c>
      <c r="O11" s="40" t="s">
        <v>547</v>
      </c>
      <c r="P11" s="26" t="s">
        <v>548</v>
      </c>
      <c r="Q11" s="39" t="s">
        <v>549</v>
      </c>
      <c r="R11" s="39" t="s">
        <v>550</v>
      </c>
      <c r="S11" s="39" t="s">
        <v>551</v>
      </c>
      <c r="T11" s="39" t="s">
        <v>542</v>
      </c>
      <c r="U11" s="39" t="s">
        <v>552</v>
      </c>
      <c r="V11" s="25" t="s">
        <v>545</v>
      </c>
      <c r="W11" s="25" t="s">
        <v>553</v>
      </c>
    </row>
    <row r="12" spans="1:23" ht="15.75" x14ac:dyDescent="0.25">
      <c r="A12" s="40">
        <v>1</v>
      </c>
      <c r="B12" s="41">
        <v>31260</v>
      </c>
      <c r="C12" s="40" t="str">
        <f>'[2]Evalution 25'!B2</f>
        <v>Abdulaziz Abdullah Abdulaziz Al Zehairi</v>
      </c>
      <c r="D12" s="42">
        <v>44559</v>
      </c>
      <c r="E12" s="40" t="str">
        <f>'[2]Evalution 25'!C2</f>
        <v>Riyadh</v>
      </c>
      <c r="F12" s="40" t="str">
        <f>'[2]Evalution 25'!E2</f>
        <v>Runner Driver</v>
      </c>
      <c r="G12" s="40" t="str">
        <f>'[2]Evalution 25'!D2</f>
        <v>Admin</v>
      </c>
      <c r="H12" s="40">
        <f>'[2]Evalutaion 23'!G2</f>
        <v>5</v>
      </c>
      <c r="I12" s="40">
        <f>'[2]Evalutaion 23'!H2</f>
        <v>5</v>
      </c>
      <c r="J12" s="40">
        <f>IF(COUNT(H12:I12)&gt;0,AVERAGEIF(H12:I12,"&gt;=0"), IF(AND(ISNUMBER(D12),D12&lt;=DATE(2023,12,31)),"NR","NA"))</f>
        <v>5</v>
      </c>
      <c r="K12" s="40">
        <f>'[2]Evalutaion 24'!G2</f>
        <v>5</v>
      </c>
      <c r="L12" s="40">
        <f>'[2]Evalutaion 24'!H2</f>
        <v>5</v>
      </c>
      <c r="M12" s="40">
        <f>IF(COUNT(K12:L12)&gt;0,AVERAGEIF(K12:L12,"&gt;=0"), IF(AND(ISNUMBER(D12),D12&lt;=DATE(2024,12,31)),"NR","NA"))</f>
        <v>5</v>
      </c>
      <c r="N12" s="40">
        <f>'[2]Evalution 25'!G2</f>
        <v>3</v>
      </c>
      <c r="O12" s="40">
        <f>'[2]Evalution 25'!H2</f>
        <v>4</v>
      </c>
      <c r="P12" s="40">
        <f>IF(COUNT(N12:O12)&gt;0,AVERAGEIF(N12:O12,"&gt;=0"), IF(AND(ISNUMBER(D12),D12&lt;=DATE(2025,12,31)),"NR","NA"))</f>
        <v>3.5</v>
      </c>
      <c r="Q12" s="43">
        <f>AVERAGE(J12:P12)</f>
        <v>4.3571428571428568</v>
      </c>
      <c r="R12" s="43" t="str">
        <f>IF(P12="","",
IF(OR(P12="NR",P12="NA"),"NA",
IF(P12&lt;3.4,"Poor",
IF(P12&lt;4.4,"Average","High")
)))</f>
        <v>Average</v>
      </c>
      <c r="S12" s="44" t="str">
        <f>IFERROR( _xlfn.XLOOKUP(P12,[2]Result!$A$7:$A$15,[2]Result!$C$7:$C$15,"Out of range",-1),"N/A")</f>
        <v>2C</v>
      </c>
      <c r="T12" s="43">
        <f>IF($D12&gt;DATE(2023,12,31),"NA",IF(J12="","NR",J12))</f>
        <v>5</v>
      </c>
      <c r="U12" s="25" t="str" cm="1">
        <f t="array" ref="U12">IF(OR(J12="NA",J12="NR",ISBLANK(J12)),J12,IFERROR(INDEX([2]Result!$C$7:$C$15,MATCH(1,(J12&gt;=[2]Result!$A$7:$A$15)*(J12&lt;=[2]Result!$B$7:$B$15),0)), "NA"))</f>
        <v>3C</v>
      </c>
      <c r="V12" s="25">
        <f>IF($D12&gt;DATE(2024,12,31),"NA",IF(M12="","NR",M12))</f>
        <v>5</v>
      </c>
      <c r="W12" s="25" t="str" cm="1">
        <f t="array" ref="W12">IF(OR(M12="NA",M12="NR",ISBLANK(M12)),M12,IFERROR(INDEX([2]Result!$C$7:$C$15,MATCH(1,(M12&gt;=[2]Result!$A$7:$A$15)*(M12&lt;=[2]Result!$B$7:$B$15),0)), "NA"))</f>
        <v>3C</v>
      </c>
    </row>
    <row r="13" spans="1:23" ht="15.75" x14ac:dyDescent="0.25">
      <c r="A13" s="40">
        <v>2</v>
      </c>
      <c r="B13" s="41">
        <v>50169</v>
      </c>
      <c r="C13" s="40" t="str">
        <f>'[2]Evalution 25'!B3</f>
        <v>Abdulaziz Obaid Meshan Alharbi</v>
      </c>
      <c r="D13" s="42">
        <v>45698</v>
      </c>
      <c r="E13" s="40" t="str">
        <f>'[2]Evalution 25'!C3</f>
        <v>Riyadh</v>
      </c>
      <c r="F13" s="40" t="str">
        <f>'[2]Evalution 25'!E3</f>
        <v>HR Executive</v>
      </c>
      <c r="G13" s="40" t="str">
        <f>'[2]Evalution 25'!D3</f>
        <v>HR</v>
      </c>
      <c r="H13" s="40" t="s">
        <v>554</v>
      </c>
      <c r="I13" s="40" t="s">
        <v>554</v>
      </c>
      <c r="J13" s="40" t="str">
        <f t="shared" ref="J13:J76" si="0">IF(COUNT(H13:I13)&gt;0,AVERAGEIF(H13:I13,"&gt;=0"), IF(AND(ISNUMBER(D13),D13&lt;=DATE(2023,12,31)),"NR","NA"))</f>
        <v>NA</v>
      </c>
      <c r="K13" s="40" t="s">
        <v>554</v>
      </c>
      <c r="L13" s="40" t="s">
        <v>554</v>
      </c>
      <c r="M13" s="40" t="str">
        <f t="shared" ref="M13:M76" si="1">IF(COUNT(K13:L13)&gt;0,AVERAGEIF(K13:L13,"&gt;=0"), IF(AND(ISNUMBER(D13),D13&lt;=DATE(2024,12,31)),"NR","NA"))</f>
        <v>NA</v>
      </c>
      <c r="N13" s="40">
        <f>'[2]Evalution 25'!G3</f>
        <v>3.4</v>
      </c>
      <c r="O13" s="40">
        <f>'[2]Evalution 25'!H3</f>
        <v>3.3</v>
      </c>
      <c r="P13" s="40">
        <f t="shared" ref="P13:P76" si="2">IF(COUNT(N13:O13)&gt;0,AVERAGEIF(N13:O13,"&gt;=0"), IF(AND(ISNUMBER(D13),D13&lt;=DATE(2025,12,31)),"NR","NA"))</f>
        <v>3.3499999999999996</v>
      </c>
      <c r="Q13" s="43">
        <f>AVERAGE(J13,M13,P13,)</f>
        <v>1.6749999999999998</v>
      </c>
      <c r="R13" s="43" t="str">
        <f t="shared" ref="R13:R76" si="3">IF(P13="","",
IF(OR(P13="NR",P13="NA"),"NA",
IF(P13&lt;3,"Poor",
IF(P13&lt;3.8,"Average","High")
)))</f>
        <v>Average</v>
      </c>
      <c r="S13" s="44" t="str">
        <f>IFERROR( _xlfn.XLOOKUP(Q13,[2]Result!$A$7:$A$15,[2]Result!$C$7:$C$15,"Out of range",-1),"N/A")</f>
        <v>1C</v>
      </c>
      <c r="T13" s="43" t="str">
        <f t="shared" ref="T13:T76" si="4">IF($D13&gt;DATE(2023,12,31),"NA",IF(J13="","NR",J13))</f>
        <v>NA</v>
      </c>
      <c r="U13" s="25" t="str" cm="1">
        <f t="array" ref="U13">IF(OR(J13="NA",J13="NR",ISBLANK(J13)),J13,IFERROR(INDEX([2]Result!$C$7:$C$15,MATCH(1,(J13&gt;=[2]Result!$A$7:$A$15)*(J13&lt;=[2]Result!$B$7:$B$15),0)), "NA"))</f>
        <v>NA</v>
      </c>
      <c r="V13" s="25" t="str">
        <f t="shared" ref="V13:V76" si="5">IF($D13&gt;DATE(2024,12,31),"NA",IF(M13="","NR",M13))</f>
        <v>NA</v>
      </c>
      <c r="W13" s="25" t="str" cm="1">
        <f t="array" ref="W13">IF(OR(M13="NA",M13="NR",ISBLANK(M13)),M13,IFERROR(INDEX([2]Result!$C$7:$C$15,MATCH(1,(M13&gt;=[2]Result!$A$7:$A$15)*(M13&lt;=[2]Result!$B$7:$B$15),0)), "NA"))</f>
        <v>NA</v>
      </c>
    </row>
    <row r="14" spans="1:23" ht="15.75" x14ac:dyDescent="0.25">
      <c r="A14" s="40">
        <v>3</v>
      </c>
      <c r="B14" s="41">
        <v>4756</v>
      </c>
      <c r="C14" s="40" t="str">
        <f>'[2]Evalution 25'!B4</f>
        <v xml:space="preserve">Abdulkader Abbasbhai Sukhsarwala </v>
      </c>
      <c r="D14" s="42">
        <v>43625</v>
      </c>
      <c r="E14" s="40" t="str">
        <f>'[2]Evalution 25'!C4</f>
        <v>Dubai</v>
      </c>
      <c r="F14" s="40" t="str">
        <f>'[2]Evalution 25'!E4</f>
        <v>Senior Digital Yield Analyst</v>
      </c>
      <c r="G14" s="40" t="str">
        <f>'[2]Evalution 25'!D4</f>
        <v>Client Growth</v>
      </c>
      <c r="H14" s="40">
        <f>'[2]Evalutaion 23'!G3</f>
        <v>3.9</v>
      </c>
      <c r="I14" s="40">
        <f>'[2]Evalutaion 23'!H3</f>
        <v>3.8</v>
      </c>
      <c r="J14" s="40">
        <f t="shared" si="0"/>
        <v>3.8499999999999996</v>
      </c>
      <c r="K14" s="40">
        <f>'[2]Evalutaion 24'!G3</f>
        <v>4.4000000000000004</v>
      </c>
      <c r="L14" s="40">
        <f>'[2]Evalutaion 24'!H3</f>
        <v>3.8</v>
      </c>
      <c r="M14" s="40">
        <f t="shared" si="1"/>
        <v>4.0999999999999996</v>
      </c>
      <c r="N14" s="40">
        <f>'[2]Evalution 25'!G4</f>
        <v>4.5999999999999996</v>
      </c>
      <c r="O14" s="40">
        <f>'[2]Evalution 25'!H4</f>
        <v>4.8</v>
      </c>
      <c r="P14" s="40">
        <f t="shared" si="2"/>
        <v>4.6999999999999993</v>
      </c>
      <c r="Q14" s="43">
        <f t="shared" ref="Q14:Q77" si="6">AVERAGE(J14,M14,P14,)</f>
        <v>3.1624999999999996</v>
      </c>
      <c r="R14" s="43" t="str">
        <f t="shared" si="3"/>
        <v>High</v>
      </c>
      <c r="S14" s="44" t="str">
        <f>IFERROR( _xlfn.XLOOKUP(Q14,[2]Result!$A$7:$A$15,[2]Result!$C$7:$C$15,"Out of range",-1),"N/A")</f>
        <v>2C</v>
      </c>
      <c r="T14" s="43">
        <f t="shared" si="4"/>
        <v>3.8499999999999996</v>
      </c>
      <c r="U14" s="25" t="str" cm="1">
        <f t="array" ref="U14">IF(OR(J14="NA",J14="NR",ISBLANK(J14)),J14,IFERROR(INDEX([2]Result!$C$7:$C$15,MATCH(1,(J14&gt;=[2]Result!$A$7:$A$15)*(J14&lt;=[2]Result!$B$7:$B$15),0)), "NA"))</f>
        <v>3A</v>
      </c>
      <c r="V14" s="25">
        <f t="shared" si="5"/>
        <v>4.0999999999999996</v>
      </c>
      <c r="W14" s="25" t="str" cm="1">
        <f t="array" ref="W14">IF(OR(M14="NA",M14="NR",ISBLANK(M14)),M14,IFERROR(INDEX([2]Result!$C$7:$C$15,MATCH(1,(M14&gt;=[2]Result!$A$7:$A$15)*(M14&lt;=[2]Result!$B$7:$B$15),0)), "NA"))</f>
        <v>3B</v>
      </c>
    </row>
    <row r="15" spans="1:23" ht="15.75" x14ac:dyDescent="0.25">
      <c r="A15" s="40">
        <v>4</v>
      </c>
      <c r="B15" s="41">
        <v>50496</v>
      </c>
      <c r="C15" s="40" t="str">
        <f>'[2]Evalution 25'!B5</f>
        <v xml:space="preserve">George  George </v>
      </c>
      <c r="D15" s="42">
        <v>45788</v>
      </c>
      <c r="E15" s="40" t="str">
        <f>'[2]Evalution 25'!C5</f>
        <v>Dubai</v>
      </c>
      <c r="F15" s="40" t="str">
        <f>'[2]Evalution 25'!E5</f>
        <v>Financial Controller-MMS</v>
      </c>
      <c r="G15" s="40" t="str">
        <f>'[2]Evalution 25'!D5</f>
        <v>Finance</v>
      </c>
      <c r="H15" s="40" t="s">
        <v>554</v>
      </c>
      <c r="I15" s="40" t="s">
        <v>554</v>
      </c>
      <c r="J15" s="40" t="str">
        <f t="shared" si="0"/>
        <v>NA</v>
      </c>
      <c r="K15" s="40" t="s">
        <v>554</v>
      </c>
      <c r="L15" s="40" t="s">
        <v>554</v>
      </c>
      <c r="M15" s="40" t="str">
        <f t="shared" si="1"/>
        <v>NA</v>
      </c>
      <c r="N15" s="40">
        <f>'[2]Evalution 25'!G5</f>
        <v>4.8</v>
      </c>
      <c r="O15" s="40">
        <f>'[2]Evalution 25'!H5</f>
        <v>4.8</v>
      </c>
      <c r="P15" s="40">
        <f t="shared" si="2"/>
        <v>4.8</v>
      </c>
      <c r="Q15" s="43">
        <f t="shared" si="6"/>
        <v>2.4</v>
      </c>
      <c r="R15" s="43" t="str">
        <f t="shared" si="3"/>
        <v>High</v>
      </c>
      <c r="S15" s="45" t="str">
        <f>IFERROR( _xlfn.XLOOKUP(Q15,[2]Result!$A$7:$A$15,[2]Result!$C$7:$C$15,"Out of range",-1),"N/A")</f>
        <v>2A</v>
      </c>
      <c r="T15" s="43" t="str">
        <f t="shared" si="4"/>
        <v>NA</v>
      </c>
      <c r="U15" s="25" t="str" cm="1">
        <f t="array" ref="U15">IF(OR(J15="NA",J15="NR",ISBLANK(J15)),J15,IFERROR(INDEX([2]Result!$C$7:$C$15,MATCH(1,(J15&gt;=[2]Result!$A$7:$A$15)*(J15&lt;=[2]Result!$B$7:$B$15),0)), "NA"))</f>
        <v>NA</v>
      </c>
      <c r="V15" s="25" t="str">
        <f t="shared" si="5"/>
        <v>NA</v>
      </c>
      <c r="W15" s="25" t="str" cm="1">
        <f t="array" ref="W15">IF(OR(M15="NA",M15="NR",ISBLANK(M15)),M15,IFERROR(INDEX([2]Result!$C$7:$C$15,MATCH(1,(M15&gt;=[2]Result!$A$7:$A$15)*(M15&lt;=[2]Result!$B$7:$B$15),0)), "NA"))</f>
        <v>NA</v>
      </c>
    </row>
    <row r="16" spans="1:23" ht="15.75" x14ac:dyDescent="0.25">
      <c r="A16" s="40">
        <v>5</v>
      </c>
      <c r="B16" s="41">
        <v>48121</v>
      </c>
      <c r="C16" s="40" t="str">
        <f>'[2]Evalution 25'!B6</f>
        <v>Abdullah Mohammed Abutaleb</v>
      </c>
      <c r="D16" s="42">
        <v>45194</v>
      </c>
      <c r="E16" s="40" t="str">
        <f>'[2]Evalution 25'!C6</f>
        <v>Riyadh</v>
      </c>
      <c r="F16" s="40" t="str">
        <f>'[2]Evalution 25'!E6</f>
        <v>Marketing Manager</v>
      </c>
      <c r="G16" s="40" t="str">
        <f>'[2]Evalution 25'!D6</f>
        <v>Marketing</v>
      </c>
      <c r="H16" s="40">
        <f>'[2]Evalutaion 23'!G4</f>
        <v>3</v>
      </c>
      <c r="I16" s="40">
        <f>'[2]Evalutaion 23'!H4</f>
        <v>3.7</v>
      </c>
      <c r="J16" s="40">
        <f t="shared" si="0"/>
        <v>3.35</v>
      </c>
      <c r="K16" s="40">
        <f>'[2]Evalutaion 24'!G4</f>
        <v>3.3</v>
      </c>
      <c r="L16" s="40">
        <f>'[2]Evalutaion 24'!H4</f>
        <v>3.8</v>
      </c>
      <c r="M16" s="40">
        <f t="shared" si="1"/>
        <v>3.55</v>
      </c>
      <c r="N16" s="40">
        <f>'[2]Evalution 25'!G6</f>
        <v>4.2</v>
      </c>
      <c r="O16" s="40">
        <f>'[2]Evalution 25'!H6</f>
        <v>4.2</v>
      </c>
      <c r="P16" s="40">
        <f t="shared" si="2"/>
        <v>4.2</v>
      </c>
      <c r="Q16" s="43">
        <f t="shared" si="6"/>
        <v>2.7750000000000004</v>
      </c>
      <c r="R16" s="43" t="str">
        <f t="shared" si="3"/>
        <v>High</v>
      </c>
      <c r="S16" s="45" t="str">
        <f>IFERROR( _xlfn.XLOOKUP(Q16,[2]Result!$A$7:$A$15,[2]Result!$C$7:$C$15,"Out of range",-1),"N/A")</f>
        <v>2B</v>
      </c>
      <c r="T16" s="43">
        <f t="shared" si="4"/>
        <v>3.35</v>
      </c>
      <c r="U16" s="25" t="str" cm="1">
        <f t="array" ref="U16">IF(OR(J16="NA",J16="NR",ISBLANK(J16)),J16,IFERROR(INDEX([2]Result!$C$7:$C$15,MATCH(1,(J16&gt;=[2]Result!$A$7:$A$15)*(J16&lt;=[2]Result!$B$7:$B$15),0)), "NA"))</f>
        <v>2C</v>
      </c>
      <c r="V16" s="25">
        <f t="shared" si="5"/>
        <v>3.55</v>
      </c>
      <c r="W16" s="25" t="str" cm="1">
        <f t="array" ref="W16">IF(OR(M16="NA",M16="NR",ISBLANK(M16)),M16,IFERROR(INDEX([2]Result!$C$7:$C$15,MATCH(1,(M16&gt;=[2]Result!$A$7:$A$15)*(M16&lt;=[2]Result!$B$7:$B$15),0)), "NA"))</f>
        <v>NA</v>
      </c>
    </row>
    <row r="17" spans="1:23" ht="15.75" x14ac:dyDescent="0.25">
      <c r="A17" s="40">
        <v>6</v>
      </c>
      <c r="B17" s="41">
        <v>10848</v>
      </c>
      <c r="C17" s="40" t="str">
        <f>'[2]Evalution 25'!B7</f>
        <v>Abir Kharsa</v>
      </c>
      <c r="D17" s="42">
        <v>44332</v>
      </c>
      <c r="E17" s="40" t="str">
        <f>'[2]Evalution 25'!C7</f>
        <v>Dubai</v>
      </c>
      <c r="F17" s="40" t="str">
        <f>'[2]Evalution 25'!E7</f>
        <v>Senior Traffic Executive</v>
      </c>
      <c r="G17" s="40" t="str">
        <f>'[2]Evalution 25'!D7</f>
        <v>Traffic</v>
      </c>
      <c r="H17" s="40">
        <f>'[2]Evalutaion 23'!G5</f>
        <v>4.5999999999999996</v>
      </c>
      <c r="I17" s="40">
        <f>'[2]Evalutaion 23'!H5</f>
        <v>5</v>
      </c>
      <c r="J17" s="40">
        <f t="shared" si="0"/>
        <v>4.8</v>
      </c>
      <c r="K17" s="40">
        <f>'[2]Evalutaion 24'!G5</f>
        <v>4.8</v>
      </c>
      <c r="L17" s="40">
        <f>'[2]Evalutaion 24'!H5</f>
        <v>4.7</v>
      </c>
      <c r="M17" s="40">
        <f t="shared" si="1"/>
        <v>4.75</v>
      </c>
      <c r="N17" s="40">
        <f>'[2]Evalution 25'!G7</f>
        <v>5</v>
      </c>
      <c r="O17" s="40">
        <f>'[2]Evalution 25'!H7</f>
        <v>5</v>
      </c>
      <c r="P17" s="40">
        <f t="shared" si="2"/>
        <v>5</v>
      </c>
      <c r="Q17" s="43">
        <f t="shared" si="6"/>
        <v>3.6375000000000002</v>
      </c>
      <c r="R17" s="43" t="str">
        <f t="shared" si="3"/>
        <v>High</v>
      </c>
      <c r="S17" s="46" t="str">
        <f>IFERROR( _xlfn.XLOOKUP(Q17,[2]Result!$A$7:$A$15,[2]Result!$C$7:$C$15,"Out of range",-1),"N/A")</f>
        <v>3A</v>
      </c>
      <c r="T17" s="43">
        <f t="shared" si="4"/>
        <v>4.8</v>
      </c>
      <c r="U17" s="25" t="str" cm="1">
        <f t="array" ref="U17">IF(OR(J17="NA",J17="NR",ISBLANK(J17)),J17,IFERROR(INDEX([2]Result!$C$7:$C$15,MATCH(1,(J17&gt;=[2]Result!$A$7:$A$15)*(J17&lt;=[2]Result!$B$7:$B$15),0)), "NA"))</f>
        <v>3C</v>
      </c>
      <c r="V17" s="25">
        <f t="shared" si="5"/>
        <v>4.75</v>
      </c>
      <c r="W17" s="25" t="str" cm="1">
        <f t="array" ref="W17">IF(OR(M17="NA",M17="NR",ISBLANK(M17)),M17,IFERROR(INDEX([2]Result!$C$7:$C$15,MATCH(1,(M17&gt;=[2]Result!$A$7:$A$15)*(M17&lt;=[2]Result!$B$7:$B$15),0)), "NA"))</f>
        <v>3C</v>
      </c>
    </row>
    <row r="18" spans="1:23" ht="15.75" x14ac:dyDescent="0.25">
      <c r="A18" s="40">
        <v>7</v>
      </c>
      <c r="B18" s="41">
        <v>6557</v>
      </c>
      <c r="C18" s="40" t="str">
        <f>'[2]Evalution 25'!B8</f>
        <v>Adel Mohamed Adeeb Abou Elnasr Mohamed</v>
      </c>
      <c r="D18" s="42">
        <v>44228</v>
      </c>
      <c r="E18" s="40" t="str">
        <f>'[2]Evalution 25'!C8</f>
        <v>Cairo</v>
      </c>
      <c r="F18" s="40" t="str">
        <f>'[2]Evalution 25'!E8</f>
        <v>Client Service Senior Supervisor</v>
      </c>
      <c r="G18" s="40" t="str">
        <f>'[2]Evalution 25'!D8</f>
        <v>Agency Partnerships</v>
      </c>
      <c r="H18" s="40">
        <f>'[2]Evalutaion 23'!G6</f>
        <v>4.3</v>
      </c>
      <c r="I18" s="40">
        <f>'[2]Evalutaion 23'!H6</f>
        <v>4.3</v>
      </c>
      <c r="J18" s="40">
        <f t="shared" si="0"/>
        <v>4.3</v>
      </c>
      <c r="K18" s="40">
        <f>'[2]Evalutaion 24'!G6</f>
        <v>4</v>
      </c>
      <c r="L18" s="40">
        <f>'[2]Evalutaion 24'!H6</f>
        <v>4.3</v>
      </c>
      <c r="M18" s="40">
        <f t="shared" si="1"/>
        <v>4.1500000000000004</v>
      </c>
      <c r="N18" s="40">
        <f>'[2]Evalution 25'!G8</f>
        <v>4</v>
      </c>
      <c r="O18" s="40">
        <f>'[2]Evalution 25'!H8</f>
        <v>3.8</v>
      </c>
      <c r="P18" s="40">
        <f t="shared" si="2"/>
        <v>3.9</v>
      </c>
      <c r="Q18" s="43">
        <f t="shared" si="6"/>
        <v>3.0874999999999999</v>
      </c>
      <c r="R18" s="43" t="str">
        <f t="shared" si="3"/>
        <v>High</v>
      </c>
      <c r="S18" s="44" t="str">
        <f>IFERROR( _xlfn.XLOOKUP(Q18,[2]Result!$A$7:$A$15,[2]Result!$C$7:$C$15,"Out of range",-1),"N/A")</f>
        <v>2B</v>
      </c>
      <c r="T18" s="43">
        <f t="shared" si="4"/>
        <v>4.3</v>
      </c>
      <c r="U18" s="25" t="str" cm="1">
        <f t="array" ref="U18">IF(OR(J18="NA",J18="NR",ISBLANK(J18)),J18,IFERROR(INDEX([2]Result!$C$7:$C$15,MATCH(1,(J18&gt;=[2]Result!$A$7:$A$15)*(J18&lt;=[2]Result!$B$7:$B$15),0)), "NA"))</f>
        <v>3B</v>
      </c>
      <c r="V18" s="25">
        <f t="shared" si="5"/>
        <v>4.1500000000000004</v>
      </c>
      <c r="W18" s="25" t="str" cm="1">
        <f t="array" ref="W18">IF(OR(M18="NA",M18="NR",ISBLANK(M18)),M18,IFERROR(INDEX([2]Result!$C$7:$C$15,MATCH(1,(M18&gt;=[2]Result!$A$7:$A$15)*(M18&lt;=[2]Result!$B$7:$B$15),0)), "NA"))</f>
        <v>3B</v>
      </c>
    </row>
    <row r="19" spans="1:23" ht="15.75" x14ac:dyDescent="0.25">
      <c r="A19" s="40">
        <v>8</v>
      </c>
      <c r="B19" s="41">
        <v>4984</v>
      </c>
      <c r="C19" s="40" t="str">
        <f>'[2]Evalution 25'!B9</f>
        <v>Adriana Nicolas Khater Verdin</v>
      </c>
      <c r="D19" s="42">
        <v>43835</v>
      </c>
      <c r="E19" s="40" t="str">
        <f>'[2]Evalution 25'!C9</f>
        <v>Dubai</v>
      </c>
      <c r="F19" s="40" t="str">
        <f>'[2]Evalution 25'!E9</f>
        <v>Content Solutions Senior Executive</v>
      </c>
      <c r="G19" s="40" t="str">
        <f>'[2]Evalution 25'!D9</f>
        <v>Content Solutions</v>
      </c>
      <c r="H19" s="40">
        <f>'[2]Evalutaion 23'!G7</f>
        <v>4</v>
      </c>
      <c r="I19" s="40">
        <f>'[2]Evalutaion 23'!H7</f>
        <v>3.7</v>
      </c>
      <c r="J19" s="40">
        <f t="shared" si="0"/>
        <v>3.85</v>
      </c>
      <c r="K19" s="40">
        <f>'[2]Evalutaion 24'!G7</f>
        <v>5</v>
      </c>
      <c r="L19" s="40">
        <f>'[2]Evalutaion 24'!H7</f>
        <v>5</v>
      </c>
      <c r="M19" s="40">
        <f t="shared" si="1"/>
        <v>5</v>
      </c>
      <c r="N19" s="40">
        <f>'[2]Evalution 25'!G9</f>
        <v>4</v>
      </c>
      <c r="O19" s="40">
        <f>'[2]Evalution 25'!H9</f>
        <v>4</v>
      </c>
      <c r="P19" s="40">
        <f t="shared" si="2"/>
        <v>4</v>
      </c>
      <c r="Q19" s="43">
        <f t="shared" si="6"/>
        <v>3.2124999999999999</v>
      </c>
      <c r="R19" s="43" t="str">
        <f t="shared" si="3"/>
        <v>High</v>
      </c>
      <c r="S19" s="44" t="str">
        <f>IFERROR( _xlfn.XLOOKUP(Q19,[2]Result!$A$7:$A$15,[2]Result!$C$7:$C$15,"Out of range",-1),"N/A")</f>
        <v>2C</v>
      </c>
      <c r="T19" s="43">
        <f t="shared" si="4"/>
        <v>3.85</v>
      </c>
      <c r="U19" s="25" t="str" cm="1">
        <f t="array" ref="U19">IF(OR(J19="NA",J19="NR",ISBLANK(J19)),J19,IFERROR(INDEX([2]Result!$C$7:$C$15,MATCH(1,(J19&gt;=[2]Result!$A$7:$A$15)*(J19&lt;=[2]Result!$B$7:$B$15),0)), "NA"))</f>
        <v>3A</v>
      </c>
      <c r="V19" s="25">
        <f t="shared" si="5"/>
        <v>5</v>
      </c>
      <c r="W19" s="25" t="str" cm="1">
        <f t="array" ref="W19">IF(OR(M19="NA",M19="NR",ISBLANK(M19)),M19,IFERROR(INDEX([2]Result!$C$7:$C$15,MATCH(1,(M19&gt;=[2]Result!$A$7:$A$15)*(M19&lt;=[2]Result!$B$7:$B$15),0)), "NA"))</f>
        <v>3C</v>
      </c>
    </row>
    <row r="20" spans="1:23" ht="15.75" x14ac:dyDescent="0.25">
      <c r="A20" s="40">
        <v>9</v>
      </c>
      <c r="B20" s="41">
        <v>10115</v>
      </c>
      <c r="C20" s="40" t="str">
        <f>'[2]Evalution 25'!B10</f>
        <v xml:space="preserve">Ahmed  M M Omran </v>
      </c>
      <c r="D20" s="42">
        <v>44119</v>
      </c>
      <c r="E20" s="40" t="str">
        <f>'[2]Evalution 25'!C10</f>
        <v>Dubai</v>
      </c>
      <c r="F20" s="40" t="str">
        <f>'[2]Evalution 25'!E10</f>
        <v>Senior Traffic Manager</v>
      </c>
      <c r="G20" s="40" t="str">
        <f>'[2]Evalution 25'!D10</f>
        <v>Traffic</v>
      </c>
      <c r="H20" s="40">
        <f>'[2]Evalutaion 23'!G8</f>
        <v>0</v>
      </c>
      <c r="I20" s="40">
        <f>'[2]Evalutaion 23'!H8</f>
        <v>3.8</v>
      </c>
      <c r="J20" s="40">
        <f t="shared" si="0"/>
        <v>1.9</v>
      </c>
      <c r="K20" s="40">
        <f>'[2]Evalutaion 24'!G8</f>
        <v>3.6</v>
      </c>
      <c r="L20" s="40">
        <f>'[2]Evalutaion 24'!H8</f>
        <v>4</v>
      </c>
      <c r="M20" s="40">
        <f t="shared" si="1"/>
        <v>3.8</v>
      </c>
      <c r="N20" s="40">
        <f>'[2]Evalution 25'!G10</f>
        <v>4.8</v>
      </c>
      <c r="O20" s="40">
        <f>'[2]Evalution 25'!H10</f>
        <v>4.7</v>
      </c>
      <c r="P20" s="40">
        <f t="shared" si="2"/>
        <v>4.75</v>
      </c>
      <c r="Q20" s="43">
        <f t="shared" si="6"/>
        <v>2.6124999999999998</v>
      </c>
      <c r="R20" s="43" t="str">
        <f t="shared" si="3"/>
        <v>High</v>
      </c>
      <c r="S20" s="44" t="str">
        <f>IFERROR( _xlfn.XLOOKUP(Q20,[2]Result!$A$7:$A$15,[2]Result!$C$7:$C$15,"Out of range",-1),"N/A")</f>
        <v>2B</v>
      </c>
      <c r="T20" s="43">
        <f t="shared" si="4"/>
        <v>1.9</v>
      </c>
      <c r="U20" s="25" t="str" cm="1">
        <f t="array" ref="U20">IF(OR(J20="NA",J20="NR",ISBLANK(J20)),J20,IFERROR(INDEX([2]Result!$C$7:$C$15,MATCH(1,(J20&gt;=[2]Result!$A$7:$A$15)*(J20&lt;=[2]Result!$B$7:$B$15),0)), "NA"))</f>
        <v>1C</v>
      </c>
      <c r="V20" s="25">
        <f t="shared" si="5"/>
        <v>3.8</v>
      </c>
      <c r="W20" s="25" t="str" cm="1">
        <f t="array" ref="W20">IF(OR(M20="NA",M20="NR",ISBLANK(M20)),M20,IFERROR(INDEX([2]Result!$C$7:$C$15,MATCH(1,(M20&gt;=[2]Result!$A$7:$A$15)*(M20&lt;=[2]Result!$B$7:$B$15),0)), "NA"))</f>
        <v>3A</v>
      </c>
    </row>
    <row r="21" spans="1:23" ht="15.75" x14ac:dyDescent="0.25">
      <c r="A21" s="40">
        <v>10</v>
      </c>
      <c r="B21" s="41">
        <v>48322</v>
      </c>
      <c r="C21" s="40" t="str">
        <f>'[2]Evalution 25'!B11</f>
        <v>Ahmed abdelhady  abdelhady mohamed Elshorbagy</v>
      </c>
      <c r="D21" s="42">
        <v>45261</v>
      </c>
      <c r="E21" s="40" t="str">
        <f>'[2]Evalution 25'!C11</f>
        <v>Cairo</v>
      </c>
      <c r="F21" s="40" t="str">
        <f>'[2]Evalution 25'!E11</f>
        <v>Sales Supervisor</v>
      </c>
      <c r="G21" s="40" t="str">
        <f>'[2]Evalution 25'!D11</f>
        <v>Agency Partnerships</v>
      </c>
      <c r="H21" s="40" t="s">
        <v>554</v>
      </c>
      <c r="I21" s="40" t="s">
        <v>554</v>
      </c>
      <c r="J21" s="40" t="str">
        <f t="shared" si="0"/>
        <v>NR</v>
      </c>
      <c r="K21" s="40">
        <f>'[2]Evalutaion 24'!G9</f>
        <v>4</v>
      </c>
      <c r="L21" s="40">
        <f>'[2]Evalutaion 24'!H9</f>
        <v>3.7</v>
      </c>
      <c r="M21" s="40">
        <f t="shared" si="1"/>
        <v>3.85</v>
      </c>
      <c r="N21" s="40">
        <f>'[2]Evalution 25'!G11</f>
        <v>3.5</v>
      </c>
      <c r="O21" s="40">
        <f>'[2]Evalution 25'!H11</f>
        <v>4</v>
      </c>
      <c r="P21" s="40">
        <f t="shared" si="2"/>
        <v>3.75</v>
      </c>
      <c r="Q21" s="43">
        <f t="shared" si="6"/>
        <v>2.5333333333333332</v>
      </c>
      <c r="R21" s="43" t="str">
        <f t="shared" si="3"/>
        <v>Average</v>
      </c>
      <c r="S21" s="45" t="str">
        <f>IFERROR( _xlfn.XLOOKUP(Q21,[2]Result!$A$7:$A$15,[2]Result!$C$7:$C$15,"Out of range",-1),"N/A")</f>
        <v>2A</v>
      </c>
      <c r="T21" s="43" t="str">
        <f t="shared" si="4"/>
        <v>NR</v>
      </c>
      <c r="U21" s="25" t="str" cm="1">
        <f t="array" ref="U21">IF(OR(J21="NA",J21="NR",ISBLANK(J21)),J21,IFERROR(INDEX([2]Result!$C$7:$C$15,MATCH(1,(J21&gt;=[2]Result!$A$7:$A$15)*(J21&lt;=[2]Result!$B$7:$B$15),0)), "NA"))</f>
        <v>NR</v>
      </c>
      <c r="V21" s="25">
        <f t="shared" si="5"/>
        <v>3.85</v>
      </c>
      <c r="W21" s="25" t="str" cm="1">
        <f t="array" ref="W21">IF(OR(M21="NA",M21="NR",ISBLANK(M21)),M21,IFERROR(INDEX([2]Result!$C$7:$C$15,MATCH(1,(M21&gt;=[2]Result!$A$7:$A$15)*(M21&lt;=[2]Result!$B$7:$B$15),0)), "NA"))</f>
        <v>3A</v>
      </c>
    </row>
    <row r="22" spans="1:23" ht="15.75" x14ac:dyDescent="0.25">
      <c r="A22" s="40">
        <v>11</v>
      </c>
      <c r="B22" s="41">
        <v>6572</v>
      </c>
      <c r="C22" s="40" t="str">
        <f>'[2]Evalution 25'!B12</f>
        <v xml:space="preserve">Jyoti Kanda </v>
      </c>
      <c r="D22" s="42">
        <v>44293</v>
      </c>
      <c r="E22" s="40" t="str">
        <f>'[2]Evalution 25'!C12</f>
        <v>Dubai</v>
      </c>
      <c r="F22" s="40" t="str">
        <f>'[2]Evalution 25'!E12</f>
        <v>Director of Commercial Finance</v>
      </c>
      <c r="G22" s="40" t="str">
        <f>'[2]Evalution 25'!D12</f>
        <v>Finance</v>
      </c>
      <c r="H22" s="40">
        <f>'[2]Evalutaion 23'!G9</f>
        <v>3.5</v>
      </c>
      <c r="I22" s="40">
        <f>'[2]Evalutaion 23'!H9</f>
        <v>3.3</v>
      </c>
      <c r="J22" s="40">
        <f t="shared" si="0"/>
        <v>3.4</v>
      </c>
      <c r="K22" s="40">
        <f>'[2]Evalutaion 24'!G10</f>
        <v>3.5</v>
      </c>
      <c r="L22" s="40">
        <f>'[2]Evalutaion 24'!H10</f>
        <v>3.5</v>
      </c>
      <c r="M22" s="40">
        <f t="shared" si="1"/>
        <v>3.5</v>
      </c>
      <c r="N22" s="40">
        <f>'[2]Evalution 25'!G12</f>
        <v>4.7</v>
      </c>
      <c r="O22" s="40">
        <f>'[2]Evalution 25'!H12</f>
        <v>4.7</v>
      </c>
      <c r="P22" s="40">
        <f t="shared" si="2"/>
        <v>4.7</v>
      </c>
      <c r="Q22" s="43">
        <f t="shared" si="6"/>
        <v>2.9000000000000004</v>
      </c>
      <c r="R22" s="43" t="str">
        <f t="shared" si="3"/>
        <v>High</v>
      </c>
      <c r="S22" s="44" t="str">
        <f>IFERROR( _xlfn.XLOOKUP(Q22,[2]Result!$A$7:$A$15,[2]Result!$C$7:$C$15,"Out of range",-1),"N/A")</f>
        <v>2B</v>
      </c>
      <c r="T22" s="43">
        <f t="shared" si="4"/>
        <v>3.4</v>
      </c>
      <c r="U22" s="25" t="str" cm="1">
        <f t="array" ref="U22">IF(OR(J22="NA",J22="NR",ISBLANK(J22)),J22,IFERROR(INDEX([2]Result!$C$7:$C$15,MATCH(1,(J22&gt;=[2]Result!$A$7:$A$15)*(J22&lt;=[2]Result!$B$7:$B$15),0)), "NA"))</f>
        <v>2C</v>
      </c>
      <c r="V22" s="25">
        <f t="shared" si="5"/>
        <v>3.5</v>
      </c>
      <c r="W22" s="25" t="str" cm="1">
        <f t="array" ref="W22">IF(OR(M22="NA",M22="NR",ISBLANK(M22)),M22,IFERROR(INDEX([2]Result!$C$7:$C$15,MATCH(1,(M22&gt;=[2]Result!$A$7:$A$15)*(M22&lt;=[2]Result!$B$7:$B$15),0)), "NA"))</f>
        <v>2C</v>
      </c>
    </row>
    <row r="23" spans="1:23" ht="15.75" x14ac:dyDescent="0.25">
      <c r="A23" s="40">
        <v>12</v>
      </c>
      <c r="B23" s="41">
        <v>6609</v>
      </c>
      <c r="C23" s="40" t="str">
        <f>'[2]Evalution 25'!B13</f>
        <v>Ahmed Hamed Ibrahim kamel</v>
      </c>
      <c r="D23" s="42">
        <v>44470</v>
      </c>
      <c r="E23" s="40" t="str">
        <f>'[2]Evalution 25'!C13</f>
        <v>Cairo</v>
      </c>
      <c r="F23" s="40" t="str">
        <f>'[2]Evalution 25'!E13</f>
        <v>Sales Director</v>
      </c>
      <c r="G23" s="40" t="str">
        <f>'[2]Evalution 25'!D13</f>
        <v>Agency Partnerships</v>
      </c>
      <c r="H23" s="40">
        <f>'[2]Evalutaion 23'!G10</f>
        <v>3.7</v>
      </c>
      <c r="I23" s="40">
        <f>'[2]Evalutaion 23'!H10</f>
        <v>3.8</v>
      </c>
      <c r="J23" s="40">
        <f t="shared" si="0"/>
        <v>3.75</v>
      </c>
      <c r="K23" s="40">
        <f>'[2]Evalutaion 24'!G11</f>
        <v>4.3</v>
      </c>
      <c r="L23" s="40">
        <f>'[2]Evalutaion 24'!H11</f>
        <v>3.7</v>
      </c>
      <c r="M23" s="40">
        <f t="shared" si="1"/>
        <v>4</v>
      </c>
      <c r="N23" s="40">
        <f>'[2]Evalution 25'!G13</f>
        <v>4.5</v>
      </c>
      <c r="O23" s="40">
        <f>'[2]Evalution 25'!H13</f>
        <v>3.7</v>
      </c>
      <c r="P23" s="40">
        <f t="shared" si="2"/>
        <v>4.0999999999999996</v>
      </c>
      <c r="Q23" s="43">
        <f t="shared" si="6"/>
        <v>2.9624999999999999</v>
      </c>
      <c r="R23" s="43" t="str">
        <f t="shared" si="3"/>
        <v>High</v>
      </c>
      <c r="S23" s="45" t="str">
        <f>IFERROR( _xlfn.XLOOKUP(Q23,[2]Result!$A$7:$A$15,[2]Result!$C$7:$C$15,"Out of range",-1),"N/A")</f>
        <v>2B</v>
      </c>
      <c r="T23" s="43">
        <f t="shared" si="4"/>
        <v>3.75</v>
      </c>
      <c r="U23" s="25" t="str" cm="1">
        <f t="array" ref="U23">IF(OR(J23="NA",J23="NR",ISBLANK(J23)),J23,IFERROR(INDEX([2]Result!$C$7:$C$15,MATCH(1,(J23&gt;=[2]Result!$A$7:$A$15)*(J23&lt;=[2]Result!$B$7:$B$15),0)), "NA"))</f>
        <v>3A</v>
      </c>
      <c r="V23" s="25">
        <f t="shared" si="5"/>
        <v>4</v>
      </c>
      <c r="W23" s="25" t="str" cm="1">
        <f t="array" ref="W23">IF(OR(M23="NA",M23="NR",ISBLANK(M23)),M23,IFERROR(INDEX([2]Result!$C$7:$C$15,MATCH(1,(M23&gt;=[2]Result!$A$7:$A$15)*(M23&lt;=[2]Result!$B$7:$B$15),0)), "NA"))</f>
        <v>3A</v>
      </c>
    </row>
    <row r="24" spans="1:23" ht="15.75" x14ac:dyDescent="0.25">
      <c r="A24" s="40">
        <v>13</v>
      </c>
      <c r="B24" s="41">
        <v>50733</v>
      </c>
      <c r="C24" s="40" t="str">
        <f>'[2]Evalution 25'!B14</f>
        <v>Minhal Ali</v>
      </c>
      <c r="D24" s="42">
        <v>45866</v>
      </c>
      <c r="E24" s="40" t="str">
        <f>'[2]Evalution 25'!C14</f>
        <v>Dubai</v>
      </c>
      <c r="F24" s="40" t="str">
        <f>'[2]Evalution 25'!E14</f>
        <v>Finance Supervisor-MMS</v>
      </c>
      <c r="G24" s="40" t="str">
        <f>'[2]Evalution 25'!D14</f>
        <v>Finance</v>
      </c>
      <c r="H24" s="40" t="s">
        <v>554</v>
      </c>
      <c r="I24" s="40" t="s">
        <v>554</v>
      </c>
      <c r="J24" s="40" t="str">
        <f t="shared" si="0"/>
        <v>NA</v>
      </c>
      <c r="K24" s="40" t="s">
        <v>554</v>
      </c>
      <c r="L24" s="40" t="s">
        <v>554</v>
      </c>
      <c r="M24" s="40" t="str">
        <f t="shared" si="1"/>
        <v>NA</v>
      </c>
      <c r="N24" s="40">
        <f>'[2]Evalution 25'!G14</f>
        <v>4.4000000000000004</v>
      </c>
      <c r="O24" s="40">
        <f>'[2]Evalution 25'!H14</f>
        <v>5</v>
      </c>
      <c r="P24" s="40">
        <f t="shared" si="2"/>
        <v>4.7</v>
      </c>
      <c r="Q24" s="43">
        <f t="shared" si="6"/>
        <v>2.35</v>
      </c>
      <c r="R24" s="43" t="str">
        <f t="shared" si="3"/>
        <v>High</v>
      </c>
      <c r="S24" s="45" t="str">
        <f>IFERROR( _xlfn.XLOOKUP(Q24,[2]Result!$A$7:$A$15,[2]Result!$C$7:$C$15,"Out of range",-1),"N/A")</f>
        <v>2A</v>
      </c>
      <c r="T24" s="43" t="str">
        <f t="shared" si="4"/>
        <v>NA</v>
      </c>
      <c r="U24" s="25" t="str" cm="1">
        <f t="array" ref="U24">IF(OR(J24="NA",J24="NR",ISBLANK(J24)),J24,IFERROR(INDEX([2]Result!$C$7:$C$15,MATCH(1,(J24&gt;=[2]Result!$A$7:$A$15)*(J24&lt;=[2]Result!$B$7:$B$15),0)), "NA"))</f>
        <v>NA</v>
      </c>
      <c r="V24" s="25" t="str">
        <f t="shared" si="5"/>
        <v>NA</v>
      </c>
      <c r="W24" s="25" t="str" cm="1">
        <f t="array" ref="W24">IF(OR(M24="NA",M24="NR",ISBLANK(M24)),M24,IFERROR(INDEX([2]Result!$C$7:$C$15,MATCH(1,(M24&gt;=[2]Result!$A$7:$A$15)*(M24&lt;=[2]Result!$B$7:$B$15),0)), "NA"))</f>
        <v>NA</v>
      </c>
    </row>
    <row r="25" spans="1:23" ht="15.75" x14ac:dyDescent="0.25">
      <c r="A25" s="40">
        <v>14</v>
      </c>
      <c r="B25" s="41">
        <v>10853</v>
      </c>
      <c r="C25" s="40" t="str">
        <f>'[2]Evalution 25'!B15</f>
        <v xml:space="preserve">Salem  Khader  Masood </v>
      </c>
      <c r="D25" s="42">
        <v>44381</v>
      </c>
      <c r="E25" s="40" t="str">
        <f>'[2]Evalution 25'!C15</f>
        <v>Dubai</v>
      </c>
      <c r="F25" s="40" t="str">
        <f>'[2]Evalution 25'!E15</f>
        <v>Senior Finance Manager-MMS</v>
      </c>
      <c r="G25" s="40" t="str">
        <f>'[2]Evalution 25'!D15</f>
        <v>Finance</v>
      </c>
      <c r="H25" s="40">
        <f>'[2]Evalutaion 23'!G11</f>
        <v>3.5</v>
      </c>
      <c r="I25" s="40">
        <f>'[2]Evalutaion 23'!H11</f>
        <v>3</v>
      </c>
      <c r="J25" s="40">
        <f t="shared" si="0"/>
        <v>3.25</v>
      </c>
      <c r="K25" s="40">
        <f>'[2]Evalutaion 24'!G12</f>
        <v>4</v>
      </c>
      <c r="L25" s="40">
        <f>'[2]Evalutaion 24'!H12</f>
        <v>4</v>
      </c>
      <c r="M25" s="40">
        <f t="shared" si="1"/>
        <v>4</v>
      </c>
      <c r="N25" s="40">
        <f>'[2]Evalution 25'!G15</f>
        <v>4.5999999999999996</v>
      </c>
      <c r="O25" s="40">
        <f>'[2]Evalution 25'!H15</f>
        <v>4.8</v>
      </c>
      <c r="P25" s="40">
        <f t="shared" si="2"/>
        <v>4.6999999999999993</v>
      </c>
      <c r="Q25" s="43">
        <f t="shared" si="6"/>
        <v>2.9874999999999998</v>
      </c>
      <c r="R25" s="43" t="str">
        <f t="shared" si="3"/>
        <v>High</v>
      </c>
      <c r="S25" s="45" t="str">
        <f>IFERROR( _xlfn.XLOOKUP(Q25,[2]Result!$A$7:$A$15,[2]Result!$C$7:$C$15,"Out of range",-1),"N/A")</f>
        <v>2B</v>
      </c>
      <c r="T25" s="43">
        <f t="shared" si="4"/>
        <v>3.25</v>
      </c>
      <c r="U25" s="25" t="str" cm="1">
        <f t="array" ref="U25">IF(OR(J25="NA",J25="NR",ISBLANK(J25)),J25,IFERROR(INDEX([2]Result!$C$7:$C$15,MATCH(1,(J25&gt;=[2]Result!$A$7:$A$15)*(J25&lt;=[2]Result!$B$7:$B$15),0)), "NA"))</f>
        <v>2C</v>
      </c>
      <c r="V25" s="25">
        <f t="shared" si="5"/>
        <v>4</v>
      </c>
      <c r="W25" s="25" t="str" cm="1">
        <f t="array" ref="W25">IF(OR(M25="NA",M25="NR",ISBLANK(M25)),M25,IFERROR(INDEX([2]Result!$C$7:$C$15,MATCH(1,(M25&gt;=[2]Result!$A$7:$A$15)*(M25&lt;=[2]Result!$B$7:$B$15),0)), "NA"))</f>
        <v>3A</v>
      </c>
    </row>
    <row r="26" spans="1:23" ht="15.75" x14ac:dyDescent="0.25">
      <c r="A26" s="40">
        <v>15</v>
      </c>
      <c r="B26" s="41">
        <v>49223</v>
      </c>
      <c r="C26" s="40" t="str">
        <f>'[2]Evalution 25'!B16</f>
        <v>Ahmed Mohammed Eldabbagh</v>
      </c>
      <c r="D26" s="42">
        <v>45417</v>
      </c>
      <c r="E26" s="40" t="str">
        <f>'[2]Evalution 25'!C16</f>
        <v>Riyadh</v>
      </c>
      <c r="F26" s="40" t="str">
        <f>'[2]Evalution 25'!E16</f>
        <v>Integrated Planning Senior Executive</v>
      </c>
      <c r="G26" s="40" t="str">
        <f>'[2]Evalution 25'!D16</f>
        <v>Research</v>
      </c>
      <c r="H26" s="40" t="s">
        <v>554</v>
      </c>
      <c r="I26" s="40" t="s">
        <v>554</v>
      </c>
      <c r="J26" s="40" t="str">
        <f t="shared" si="0"/>
        <v>NA</v>
      </c>
      <c r="K26" s="40">
        <f>'[2]Evalutaion 24'!G13</f>
        <v>4.5</v>
      </c>
      <c r="L26" s="40">
        <f>'[2]Evalutaion 24'!H13</f>
        <v>4</v>
      </c>
      <c r="M26" s="40">
        <f t="shared" si="1"/>
        <v>4.25</v>
      </c>
      <c r="N26" s="40">
        <f>'[2]Evalution 25'!G16</f>
        <v>4</v>
      </c>
      <c r="O26" s="40">
        <f>'[2]Evalution 25'!H16</f>
        <v>4</v>
      </c>
      <c r="P26" s="40">
        <f t="shared" si="2"/>
        <v>4</v>
      </c>
      <c r="Q26" s="43">
        <f t="shared" si="6"/>
        <v>2.75</v>
      </c>
      <c r="R26" s="43" t="str">
        <f t="shared" si="3"/>
        <v>High</v>
      </c>
      <c r="S26" s="44" t="str">
        <f>IFERROR( _xlfn.XLOOKUP(Q26,[2]Result!$A$7:$A$15,[2]Result!$C$7:$C$15,"Out of range",-1),"N/A")</f>
        <v>2B</v>
      </c>
      <c r="T26" s="43" t="str">
        <f t="shared" si="4"/>
        <v>NA</v>
      </c>
      <c r="U26" s="25" t="str" cm="1">
        <f t="array" ref="U26">IF(OR(J26="NA",J26="NR",ISBLANK(J26)),J26,IFERROR(INDEX([2]Result!$C$7:$C$15,MATCH(1,(J26&gt;=[2]Result!$A$7:$A$15)*(J26&lt;=[2]Result!$B$7:$B$15),0)), "NA"))</f>
        <v>NA</v>
      </c>
      <c r="V26" s="25">
        <f t="shared" si="5"/>
        <v>4.25</v>
      </c>
      <c r="W26" s="25" t="str" cm="1">
        <f t="array" ref="W26">IF(OR(M26="NA",M26="NR",ISBLANK(M26)),M26,IFERROR(INDEX([2]Result!$C$7:$C$15,MATCH(1,(M26&gt;=[2]Result!$A$7:$A$15)*(M26&lt;=[2]Result!$B$7:$B$15),0)), "NA"))</f>
        <v>3B</v>
      </c>
    </row>
    <row r="27" spans="1:23" ht="15.75" x14ac:dyDescent="0.25">
      <c r="A27" s="40">
        <v>16</v>
      </c>
      <c r="B27" s="41">
        <v>6570</v>
      </c>
      <c r="C27" s="40" t="str">
        <f>'[2]Evalution 25'!B17</f>
        <v>Ahmed Mostafa Ghonemy Mostafa</v>
      </c>
      <c r="D27" s="42">
        <v>44290</v>
      </c>
      <c r="E27" s="40" t="str">
        <f>'[2]Evalution 25'!C17</f>
        <v>Cairo</v>
      </c>
      <c r="F27" s="40" t="str">
        <f>'[2]Evalution 25'!E17</f>
        <v>Traffic Supervisor</v>
      </c>
      <c r="G27" s="40" t="str">
        <f>'[2]Evalution 25'!D17</f>
        <v>Traffic</v>
      </c>
      <c r="H27" s="40">
        <f>'[2]Evalutaion 23'!G12</f>
        <v>4</v>
      </c>
      <c r="I27" s="40">
        <f>'[2]Evalutaion 23'!H12</f>
        <v>3.7</v>
      </c>
      <c r="J27" s="40">
        <f t="shared" si="0"/>
        <v>3.85</v>
      </c>
      <c r="K27" s="40">
        <f>'[2]Evalutaion 24'!G14</f>
        <v>3.7</v>
      </c>
      <c r="L27" s="40">
        <f>'[2]Evalutaion 24'!H14</f>
        <v>3.8</v>
      </c>
      <c r="M27" s="40">
        <f t="shared" si="1"/>
        <v>3.75</v>
      </c>
      <c r="N27" s="40">
        <f>'[2]Evalution 25'!G17</f>
        <v>3.8</v>
      </c>
      <c r="O27" s="40">
        <f>'[2]Evalution 25'!H17</f>
        <v>4</v>
      </c>
      <c r="P27" s="40">
        <f t="shared" si="2"/>
        <v>3.9</v>
      </c>
      <c r="Q27" s="43">
        <f t="shared" si="6"/>
        <v>2.875</v>
      </c>
      <c r="R27" s="43" t="str">
        <f t="shared" si="3"/>
        <v>High</v>
      </c>
      <c r="S27" s="45" t="str">
        <f>IFERROR( _xlfn.XLOOKUP(Q27,[2]Result!$A$7:$A$15,[2]Result!$C$7:$C$15,"Out of range",-1),"N/A")</f>
        <v>2B</v>
      </c>
      <c r="T27" s="43">
        <f t="shared" si="4"/>
        <v>3.85</v>
      </c>
      <c r="U27" s="25" t="str" cm="1">
        <f t="array" ref="U27">IF(OR(J27="NA",J27="NR",ISBLANK(J27)),J27,IFERROR(INDEX([2]Result!$C$7:$C$15,MATCH(1,(J27&gt;=[2]Result!$A$7:$A$15)*(J27&lt;=[2]Result!$B$7:$B$15),0)), "NA"))</f>
        <v>3A</v>
      </c>
      <c r="V27" s="25">
        <f t="shared" si="5"/>
        <v>3.75</v>
      </c>
      <c r="W27" s="25" t="str" cm="1">
        <f t="array" ref="W27">IF(OR(M27="NA",M27="NR",ISBLANK(M27)),M27,IFERROR(INDEX([2]Result!$C$7:$C$15,MATCH(1,(M27&gt;=[2]Result!$A$7:$A$15)*(M27&lt;=[2]Result!$B$7:$B$15),0)), "NA"))</f>
        <v>3A</v>
      </c>
    </row>
    <row r="28" spans="1:23" ht="15.75" x14ac:dyDescent="0.25">
      <c r="A28" s="40">
        <v>17</v>
      </c>
      <c r="B28" s="41">
        <v>6555</v>
      </c>
      <c r="C28" s="40" t="str">
        <f>'[2]Evalution 25'!B18</f>
        <v>Ahmed Tawfek Mahmoud Alasyouty</v>
      </c>
      <c r="D28" s="42">
        <v>44220</v>
      </c>
      <c r="E28" s="40" t="str">
        <f>'[2]Evalution 25'!C18</f>
        <v>Cairo</v>
      </c>
      <c r="F28" s="40" t="str">
        <f>'[2]Evalution 25'!E18</f>
        <v>Assistant Manager - Traffic</v>
      </c>
      <c r="G28" s="40" t="str">
        <f>'[2]Evalution 25'!D18</f>
        <v>Traffic</v>
      </c>
      <c r="H28" s="40">
        <f>'[2]Evalutaion 23'!G13</f>
        <v>4.2</v>
      </c>
      <c r="I28" s="40">
        <f>'[2]Evalutaion 23'!H13</f>
        <v>4.5</v>
      </c>
      <c r="J28" s="40">
        <f t="shared" si="0"/>
        <v>4.3499999999999996</v>
      </c>
      <c r="K28" s="40">
        <f>'[2]Evalutaion 24'!G15</f>
        <v>4.4000000000000004</v>
      </c>
      <c r="L28" s="40">
        <f>'[2]Evalutaion 24'!H15</f>
        <v>4.3</v>
      </c>
      <c r="M28" s="40">
        <f t="shared" si="1"/>
        <v>4.3499999999999996</v>
      </c>
      <c r="N28" s="40">
        <f>'[2]Evalution 25'!G18</f>
        <v>3.7</v>
      </c>
      <c r="O28" s="40">
        <f>'[2]Evalution 25'!H18</f>
        <v>3.8</v>
      </c>
      <c r="P28" s="40">
        <f t="shared" si="2"/>
        <v>3.75</v>
      </c>
      <c r="Q28" s="43">
        <f t="shared" si="6"/>
        <v>3.1124999999999998</v>
      </c>
      <c r="R28" s="43" t="str">
        <f t="shared" si="3"/>
        <v>Average</v>
      </c>
      <c r="S28" s="44" t="str">
        <f>IFERROR( _xlfn.XLOOKUP(Q28,[2]Result!$A$7:$A$15,[2]Result!$C$7:$C$15,"Out of range",-1),"N/A")</f>
        <v>2C</v>
      </c>
      <c r="T28" s="43">
        <f t="shared" si="4"/>
        <v>4.3499999999999996</v>
      </c>
      <c r="U28" s="25" t="str" cm="1">
        <f t="array" ref="U28">IF(OR(J28="NA",J28="NR",ISBLANK(J28)),J28,IFERROR(INDEX([2]Result!$C$7:$C$15,MATCH(1,(J28&gt;=[2]Result!$A$7:$A$15)*(J28&lt;=[2]Result!$B$7:$B$15),0)), "NA"))</f>
        <v>3B</v>
      </c>
      <c r="V28" s="25">
        <f t="shared" si="5"/>
        <v>4.3499999999999996</v>
      </c>
      <c r="W28" s="25" t="str" cm="1">
        <f t="array" ref="W28">IF(OR(M28="NA",M28="NR",ISBLANK(M28)),M28,IFERROR(INDEX([2]Result!$C$7:$C$15,MATCH(1,(M28&gt;=[2]Result!$A$7:$A$15)*(M28&lt;=[2]Result!$B$7:$B$15),0)), "NA"))</f>
        <v>3B</v>
      </c>
    </row>
    <row r="29" spans="1:23" ht="15.75" x14ac:dyDescent="0.25">
      <c r="A29" s="40">
        <v>18</v>
      </c>
      <c r="B29" s="41">
        <v>6595</v>
      </c>
      <c r="C29" s="40" t="str">
        <f>'[2]Evalution 25'!B19</f>
        <v>Al Shaimaa Mohamed Mohamed Sadek Alshoura</v>
      </c>
      <c r="D29" s="42">
        <v>44381</v>
      </c>
      <c r="E29" s="40" t="str">
        <f>'[2]Evalution 25'!C19</f>
        <v>Cairo</v>
      </c>
      <c r="F29" s="40" t="str">
        <f>'[2]Evalution 25'!E19</f>
        <v>HR Manager</v>
      </c>
      <c r="G29" s="40" t="str">
        <f>'[2]Evalution 25'!D19</f>
        <v>HR</v>
      </c>
      <c r="H29" s="40">
        <f>'[2]Evalutaion 23'!G14</f>
        <v>5</v>
      </c>
      <c r="I29" s="40">
        <f>'[2]Evalutaion 23'!H14</f>
        <v>4.8</v>
      </c>
      <c r="J29" s="40">
        <f t="shared" si="0"/>
        <v>4.9000000000000004</v>
      </c>
      <c r="K29" s="40">
        <f>'[2]Evalutaion 24'!G16</f>
        <v>4.7</v>
      </c>
      <c r="L29" s="40">
        <f>'[2]Evalutaion 24'!H16</f>
        <v>5</v>
      </c>
      <c r="M29" s="40">
        <f t="shared" si="1"/>
        <v>4.8499999999999996</v>
      </c>
      <c r="N29" s="40">
        <f>'[2]Evalution 25'!G19</f>
        <v>4.5999999999999996</v>
      </c>
      <c r="O29" s="40">
        <f>'[2]Evalution 25'!H19</f>
        <v>5</v>
      </c>
      <c r="P29" s="40">
        <f t="shared" si="2"/>
        <v>4.8</v>
      </c>
      <c r="Q29" s="43">
        <f t="shared" si="6"/>
        <v>3.6375000000000002</v>
      </c>
      <c r="R29" s="43" t="str">
        <f t="shared" si="3"/>
        <v>High</v>
      </c>
      <c r="S29" s="46" t="str">
        <f>IFERROR( _xlfn.XLOOKUP(Q29,[2]Result!$A$7:$A$15,[2]Result!$C$7:$C$15,"Out of range",-1),"N/A")</f>
        <v>3A</v>
      </c>
      <c r="T29" s="43">
        <f t="shared" si="4"/>
        <v>4.9000000000000004</v>
      </c>
      <c r="U29" s="25" t="str" cm="1">
        <f t="array" ref="U29">IF(OR(J29="NA",J29="NR",ISBLANK(J29)),J29,IFERROR(INDEX([2]Result!$C$7:$C$15,MATCH(1,(J29&gt;=[2]Result!$A$7:$A$15)*(J29&lt;=[2]Result!$B$7:$B$15),0)), "NA"))</f>
        <v>3C</v>
      </c>
      <c r="V29" s="25">
        <f t="shared" si="5"/>
        <v>4.8499999999999996</v>
      </c>
      <c r="W29" s="25" t="str" cm="1">
        <f t="array" ref="W29">IF(OR(M29="NA",M29="NR",ISBLANK(M29)),M29,IFERROR(INDEX([2]Result!$C$7:$C$15,MATCH(1,(M29&gt;=[2]Result!$A$7:$A$15)*(M29&lt;=[2]Result!$B$7:$B$15),0)), "NA"))</f>
        <v>3C</v>
      </c>
    </row>
    <row r="30" spans="1:23" ht="15.75" x14ac:dyDescent="0.25">
      <c r="A30" s="40">
        <v>19</v>
      </c>
      <c r="B30" s="41">
        <v>49926</v>
      </c>
      <c r="C30" s="40" t="str">
        <f>'[2]Evalution 25'!B20</f>
        <v>Alaa Mohamed Ahmed Aboelenin Zaghloul</v>
      </c>
      <c r="D30" s="42">
        <v>45597</v>
      </c>
      <c r="E30" s="40" t="str">
        <f>'[2]Evalution 25'!C20</f>
        <v>Cairo</v>
      </c>
      <c r="F30" s="40" t="str">
        <f>'[2]Evalution 25'!E20</f>
        <v>Client Service Executive</v>
      </c>
      <c r="G30" s="40" t="str">
        <f>'[2]Evalution 25'!D20</f>
        <v>Agency Partnerships</v>
      </c>
      <c r="H30" s="40" t="s">
        <v>554</v>
      </c>
      <c r="I30" s="40" t="s">
        <v>554</v>
      </c>
      <c r="J30" s="40" t="str">
        <f t="shared" si="0"/>
        <v>NA</v>
      </c>
      <c r="K30" s="40" t="s">
        <v>554</v>
      </c>
      <c r="L30" s="40" t="s">
        <v>554</v>
      </c>
      <c r="M30" s="40" t="str">
        <f t="shared" si="1"/>
        <v>NR</v>
      </c>
      <c r="N30" s="40">
        <f>'[2]Evalution 25'!G20</f>
        <v>3</v>
      </c>
      <c r="O30" s="40">
        <f>'[2]Evalution 25'!H20</f>
        <v>3.3</v>
      </c>
      <c r="P30" s="40">
        <f t="shared" si="2"/>
        <v>3.15</v>
      </c>
      <c r="Q30" s="43">
        <f t="shared" si="6"/>
        <v>1.575</v>
      </c>
      <c r="R30" s="43" t="str">
        <f t="shared" si="3"/>
        <v>Average</v>
      </c>
      <c r="S30" s="44" t="str">
        <f>IFERROR( _xlfn.XLOOKUP(Q30,[2]Result!$A$7:$A$15,[2]Result!$C$7:$C$15,"Out of range",-1),"N/A")</f>
        <v>1B</v>
      </c>
      <c r="T30" s="43" t="str">
        <f t="shared" si="4"/>
        <v>NA</v>
      </c>
      <c r="U30" s="25" t="str" cm="1">
        <f t="array" ref="U30">IF(OR(J30="NA",J30="NR",ISBLANK(J30)),J30,IFERROR(INDEX([2]Result!$C$7:$C$15,MATCH(1,(J30&gt;=[2]Result!$A$7:$A$15)*(J30&lt;=[2]Result!$B$7:$B$15),0)), "NA"))</f>
        <v>NA</v>
      </c>
      <c r="V30" s="25" t="str">
        <f t="shared" si="5"/>
        <v>NR</v>
      </c>
      <c r="W30" s="25" t="str" cm="1">
        <f t="array" ref="W30">IF(OR(M30="NA",M30="NR",ISBLANK(M30)),M30,IFERROR(INDEX([2]Result!$C$7:$C$15,MATCH(1,(M30&gt;=[2]Result!$A$7:$A$15)*(M30&lt;=[2]Result!$B$7:$B$15),0)), "NA"))</f>
        <v>NR</v>
      </c>
    </row>
    <row r="31" spans="1:23" ht="15.75" x14ac:dyDescent="0.25">
      <c r="A31" s="40">
        <v>20</v>
      </c>
      <c r="B31" s="41">
        <v>50433</v>
      </c>
      <c r="C31" s="40" t="str">
        <f>'[2]Evalution 25'!B21</f>
        <v>Alaa Mohamed Aly</v>
      </c>
      <c r="D31" s="42">
        <v>45781</v>
      </c>
      <c r="E31" s="40" t="str">
        <f>'[2]Evalution 25'!C21</f>
        <v>Cairo</v>
      </c>
      <c r="F31" s="40" t="str">
        <f>'[2]Evalution 25'!E21</f>
        <v>Office Manager</v>
      </c>
      <c r="G31" s="40" t="str">
        <f>'[2]Evalution 25'!D21</f>
        <v>Admin</v>
      </c>
      <c r="H31" s="40" t="s">
        <v>554</v>
      </c>
      <c r="I31" s="40" t="s">
        <v>554</v>
      </c>
      <c r="J31" s="40" t="str">
        <f t="shared" si="0"/>
        <v>NA</v>
      </c>
      <c r="K31" s="40" t="s">
        <v>554</v>
      </c>
      <c r="L31" s="40" t="s">
        <v>554</v>
      </c>
      <c r="M31" s="40" t="str">
        <f t="shared" si="1"/>
        <v>NA</v>
      </c>
      <c r="N31" s="40">
        <f>'[2]Evalution 25'!G21</f>
        <v>3.6</v>
      </c>
      <c r="O31" s="40">
        <f>'[2]Evalution 25'!H21</f>
        <v>3.7</v>
      </c>
      <c r="P31" s="40">
        <f t="shared" si="2"/>
        <v>3.6500000000000004</v>
      </c>
      <c r="Q31" s="43">
        <f t="shared" si="6"/>
        <v>1.8250000000000002</v>
      </c>
      <c r="R31" s="43" t="str">
        <f t="shared" si="3"/>
        <v>Average</v>
      </c>
      <c r="S31" s="45" t="str">
        <f>IFERROR( _xlfn.XLOOKUP(Q31,[2]Result!$A$7:$A$15,[2]Result!$C$7:$C$15,"Out of range",-1),"N/A")</f>
        <v>1C</v>
      </c>
      <c r="T31" s="43" t="str">
        <f t="shared" si="4"/>
        <v>NA</v>
      </c>
      <c r="U31" s="25" t="str" cm="1">
        <f t="array" ref="U31">IF(OR(J31="NA",J31="NR",ISBLANK(J31)),J31,IFERROR(INDEX([2]Result!$C$7:$C$15,MATCH(1,(J31&gt;=[2]Result!$A$7:$A$15)*(J31&lt;=[2]Result!$B$7:$B$15),0)), "NA"))</f>
        <v>NA</v>
      </c>
      <c r="V31" s="25" t="str">
        <f t="shared" si="5"/>
        <v>NA</v>
      </c>
      <c r="W31" s="25" t="str" cm="1">
        <f t="array" ref="W31">IF(OR(M31="NA",M31="NR",ISBLANK(M31)),M31,IFERROR(INDEX([2]Result!$C$7:$C$15,MATCH(1,(M31&gt;=[2]Result!$A$7:$A$15)*(M31&lt;=[2]Result!$B$7:$B$15),0)), "NA"))</f>
        <v>NA</v>
      </c>
    </row>
    <row r="32" spans="1:23" ht="15.75" x14ac:dyDescent="0.25">
      <c r="A32" s="40">
        <v>21</v>
      </c>
      <c r="B32" s="41">
        <v>49579</v>
      </c>
      <c r="C32" s="40" t="str">
        <f>'[2]Evalution 25'!B22</f>
        <v>Alaaeldin Eid ahmed Fadl</v>
      </c>
      <c r="D32" s="42">
        <v>45522</v>
      </c>
      <c r="E32" s="40" t="str">
        <f>'[2]Evalution 25'!C22</f>
        <v>Cairo</v>
      </c>
      <c r="F32" s="40" t="str">
        <f>'[2]Evalution 25'!E22</f>
        <v>Office Boy</v>
      </c>
      <c r="G32" s="40" t="str">
        <f>'[2]Evalution 25'!D22</f>
        <v>Admin</v>
      </c>
      <c r="H32" s="40" t="s">
        <v>554</v>
      </c>
      <c r="I32" s="40" t="s">
        <v>554</v>
      </c>
      <c r="J32" s="40" t="str">
        <f t="shared" si="0"/>
        <v>NA</v>
      </c>
      <c r="K32" s="40" t="s">
        <v>554</v>
      </c>
      <c r="L32" s="40" t="s">
        <v>554</v>
      </c>
      <c r="M32" s="40" t="str">
        <f t="shared" si="1"/>
        <v>NR</v>
      </c>
      <c r="N32" s="40">
        <f>'[2]Evalution 25'!G22</f>
        <v>3.5</v>
      </c>
      <c r="O32" s="40">
        <f>'[2]Evalution 25'!H22</f>
        <v>3.2</v>
      </c>
      <c r="P32" s="40">
        <f t="shared" si="2"/>
        <v>3.35</v>
      </c>
      <c r="Q32" s="43">
        <f t="shared" si="6"/>
        <v>1.675</v>
      </c>
      <c r="R32" s="43" t="str">
        <f t="shared" si="3"/>
        <v>Average</v>
      </c>
      <c r="S32" s="44" t="str">
        <f>IFERROR( _xlfn.XLOOKUP(Q32,[2]Result!$A$7:$A$15,[2]Result!$C$7:$C$15,"Out of range",-1),"N/A")</f>
        <v>1C</v>
      </c>
      <c r="T32" s="43" t="str">
        <f t="shared" si="4"/>
        <v>NA</v>
      </c>
      <c r="U32" s="25" t="str" cm="1">
        <f t="array" ref="U32">IF(OR(J32="NA",J32="NR",ISBLANK(J32)),J32,IFERROR(INDEX([2]Result!$C$7:$C$15,MATCH(1,(J32&gt;=[2]Result!$A$7:$A$15)*(J32&lt;=[2]Result!$B$7:$B$15),0)), "NA"))</f>
        <v>NA</v>
      </c>
      <c r="V32" s="25" t="str">
        <f t="shared" si="5"/>
        <v>NR</v>
      </c>
      <c r="W32" s="25" t="str" cm="1">
        <f t="array" ref="W32">IF(OR(M32="NA",M32="NR",ISBLANK(M32)),M32,IFERROR(INDEX([2]Result!$C$7:$C$15,MATCH(1,(M32&gt;=[2]Result!$A$7:$A$15)*(M32&lt;=[2]Result!$B$7:$B$15),0)), "NA"))</f>
        <v>NR</v>
      </c>
    </row>
    <row r="33" spans="1:23" ht="15.75" x14ac:dyDescent="0.25">
      <c r="A33" s="40">
        <v>22</v>
      </c>
      <c r="B33" s="41">
        <v>31428</v>
      </c>
      <c r="C33" s="40" t="str">
        <f>'[2]Evalution 25'!B23</f>
        <v>Alanoud Waleed Muhammed Almadi</v>
      </c>
      <c r="D33" s="42">
        <v>44584</v>
      </c>
      <c r="E33" s="40" t="str">
        <f>'[2]Evalution 25'!C23</f>
        <v>Riyadh</v>
      </c>
      <c r="F33" s="40" t="str">
        <f>'[2]Evalution 25'!E23</f>
        <v>Client Growth Senior Executive</v>
      </c>
      <c r="G33" s="40" t="str">
        <f>'[2]Evalution 25'!D23</f>
        <v>Client Growth</v>
      </c>
      <c r="H33" s="40">
        <f>'[2]Evalutaion 23'!G15</f>
        <v>4.4000000000000004</v>
      </c>
      <c r="I33" s="40">
        <f>'[2]Evalutaion 23'!H15</f>
        <v>4.7</v>
      </c>
      <c r="J33" s="40">
        <f t="shared" si="0"/>
        <v>4.5500000000000007</v>
      </c>
      <c r="K33" s="40">
        <f>'[2]Evalutaion 24'!G18</f>
        <v>3.1</v>
      </c>
      <c r="L33" s="40">
        <f>'[2]Evalutaion 24'!H18</f>
        <v>3.7</v>
      </c>
      <c r="M33" s="40">
        <f t="shared" si="1"/>
        <v>3.4000000000000004</v>
      </c>
      <c r="N33" s="40">
        <f>'[2]Evalution 25'!G23</f>
        <v>4.7</v>
      </c>
      <c r="O33" s="40">
        <f>'[2]Evalution 25'!H23</f>
        <v>4.8</v>
      </c>
      <c r="P33" s="40">
        <f t="shared" si="2"/>
        <v>4.75</v>
      </c>
      <c r="Q33" s="43">
        <f t="shared" si="6"/>
        <v>3.1750000000000003</v>
      </c>
      <c r="R33" s="43" t="str">
        <f t="shared" si="3"/>
        <v>High</v>
      </c>
      <c r="S33" s="44" t="str">
        <f>IFERROR( _xlfn.XLOOKUP(Q33,[2]Result!$A$7:$A$15,[2]Result!$C$7:$C$15,"Out of range",-1),"N/A")</f>
        <v>2C</v>
      </c>
      <c r="T33" s="43">
        <f t="shared" si="4"/>
        <v>4.5500000000000007</v>
      </c>
      <c r="U33" s="25" t="str" cm="1">
        <f t="array" ref="U33">IF(OR(J33="NA",J33="NR",ISBLANK(J33)),J33,IFERROR(INDEX([2]Result!$C$7:$C$15,MATCH(1,(J33&gt;=[2]Result!$A$7:$A$15)*(J33&lt;=[2]Result!$B$7:$B$15),0)), "NA"))</f>
        <v>NA</v>
      </c>
      <c r="V33" s="25">
        <f t="shared" si="5"/>
        <v>3.4000000000000004</v>
      </c>
      <c r="W33" s="25" t="str" cm="1">
        <f t="array" ref="W33">IF(OR(M33="NA",M33="NR",ISBLANK(M33)),M33,IFERROR(INDEX([2]Result!$C$7:$C$15,MATCH(1,(M33&gt;=[2]Result!$A$7:$A$15)*(M33&lt;=[2]Result!$B$7:$B$15),0)), "NA"))</f>
        <v>2C</v>
      </c>
    </row>
    <row r="34" spans="1:23" ht="15.75" x14ac:dyDescent="0.25">
      <c r="A34" s="40">
        <v>23</v>
      </c>
      <c r="B34" s="41">
        <v>47437</v>
      </c>
      <c r="C34" s="40" t="str">
        <f>'[2]Evalution 25'!B24</f>
        <v>Ali Imad Younes</v>
      </c>
      <c r="D34" s="42">
        <v>45012</v>
      </c>
      <c r="E34" s="40" t="str">
        <f>'[2]Evalution 25'!C24</f>
        <v>Dubai</v>
      </c>
      <c r="F34" s="40" t="str">
        <f>'[2]Evalution 25'!E24</f>
        <v>Content Solutions Senior Executive</v>
      </c>
      <c r="G34" s="40" t="str">
        <f>'[2]Evalution 25'!D24</f>
        <v>Content Solutions</v>
      </c>
      <c r="H34" s="40">
        <f>'[2]Evalutaion 23'!G16</f>
        <v>3.5</v>
      </c>
      <c r="I34" s="40">
        <f>'[2]Evalutaion 23'!H16</f>
        <v>3.5</v>
      </c>
      <c r="J34" s="40">
        <f t="shared" si="0"/>
        <v>3.5</v>
      </c>
      <c r="K34" s="40">
        <f>'[2]Evalutaion 24'!G19</f>
        <v>3.8</v>
      </c>
      <c r="L34" s="40">
        <f>'[2]Evalutaion 24'!H19</f>
        <v>3.7</v>
      </c>
      <c r="M34" s="40">
        <f t="shared" si="1"/>
        <v>3.75</v>
      </c>
      <c r="N34" s="40">
        <f>'[2]Evalution 25'!G24</f>
        <v>4.8</v>
      </c>
      <c r="O34" s="40">
        <f>'[2]Evalution 25'!H24</f>
        <v>4.3</v>
      </c>
      <c r="P34" s="40">
        <f t="shared" si="2"/>
        <v>4.55</v>
      </c>
      <c r="Q34" s="43">
        <f t="shared" si="6"/>
        <v>2.95</v>
      </c>
      <c r="R34" s="43" t="str">
        <f t="shared" si="3"/>
        <v>High</v>
      </c>
      <c r="S34" s="45" t="str">
        <f>IFERROR( _xlfn.XLOOKUP(Q34,[2]Result!$A$7:$A$15,[2]Result!$C$7:$C$15,"Out of range",-1),"N/A")</f>
        <v>2B</v>
      </c>
      <c r="T34" s="43">
        <f t="shared" si="4"/>
        <v>3.5</v>
      </c>
      <c r="U34" s="25" t="str" cm="1">
        <f t="array" ref="U34">IF(OR(J34="NA",J34="NR",ISBLANK(J34)),J34,IFERROR(INDEX([2]Result!$C$7:$C$15,MATCH(1,(J34&gt;=[2]Result!$A$7:$A$15)*(J34&lt;=[2]Result!$B$7:$B$15),0)), "NA"))</f>
        <v>2C</v>
      </c>
      <c r="V34" s="25">
        <f t="shared" si="5"/>
        <v>3.75</v>
      </c>
      <c r="W34" s="25" t="str" cm="1">
        <f t="array" ref="W34">IF(OR(M34="NA",M34="NR",ISBLANK(M34)),M34,IFERROR(INDEX([2]Result!$C$7:$C$15,MATCH(1,(M34&gt;=[2]Result!$A$7:$A$15)*(M34&lt;=[2]Result!$B$7:$B$15),0)), "NA"))</f>
        <v>3A</v>
      </c>
    </row>
    <row r="35" spans="1:23" ht="15.75" x14ac:dyDescent="0.25">
      <c r="A35" s="40">
        <v>24</v>
      </c>
      <c r="B35" s="41">
        <v>48064</v>
      </c>
      <c r="C35" s="40" t="str">
        <f>'[2]Evalution 25'!B25</f>
        <v>Ali Salam Ahmed Ahmed</v>
      </c>
      <c r="D35" s="42">
        <v>45173</v>
      </c>
      <c r="E35" s="40" t="str">
        <f>'[2]Evalution 25'!C25</f>
        <v>Dubai</v>
      </c>
      <c r="F35" s="40" t="str">
        <f>'[2]Evalution 25'!E25</f>
        <v>Client Growth Lead</v>
      </c>
      <c r="G35" s="40" t="str">
        <f>'[2]Evalution 25'!D25</f>
        <v>Client Growth</v>
      </c>
      <c r="H35" s="40">
        <f>'[2]Evalutaion 23'!G17</f>
        <v>0</v>
      </c>
      <c r="I35" s="40">
        <f>'[2]Evalutaion 23'!H17</f>
        <v>3.3</v>
      </c>
      <c r="J35" s="40">
        <f t="shared" si="0"/>
        <v>1.65</v>
      </c>
      <c r="K35" s="40">
        <f>'[2]Evalutaion 24'!G20</f>
        <v>0</v>
      </c>
      <c r="L35" s="40">
        <f>'[2]Evalutaion 24'!H20</f>
        <v>0</v>
      </c>
      <c r="M35" s="40">
        <f t="shared" si="1"/>
        <v>0</v>
      </c>
      <c r="N35" s="40">
        <f>'[2]Evalution 25'!G25</f>
        <v>5</v>
      </c>
      <c r="O35" s="40">
        <f>'[2]Evalution 25'!H25</f>
        <v>5</v>
      </c>
      <c r="P35" s="40">
        <f t="shared" si="2"/>
        <v>5</v>
      </c>
      <c r="Q35" s="43">
        <f t="shared" si="6"/>
        <v>1.6625000000000001</v>
      </c>
      <c r="R35" s="43" t="str">
        <f t="shared" si="3"/>
        <v>High</v>
      </c>
      <c r="S35" s="47" t="str">
        <f>IFERROR( _xlfn.XLOOKUP(Q35,[2]Result!$A$7:$A$15,[2]Result!$C$7:$C$15,"Out of range",-1),"N/A")</f>
        <v>1C</v>
      </c>
      <c r="T35" s="43">
        <f t="shared" si="4"/>
        <v>1.65</v>
      </c>
      <c r="U35" s="25" t="str" cm="1">
        <f t="array" ref="U35">IF(OR(J35="NA",J35="NR",ISBLANK(J35)),J35,IFERROR(INDEX([2]Result!$C$7:$C$15,MATCH(1,(J35&gt;=[2]Result!$A$7:$A$15)*(J35&lt;=[2]Result!$B$7:$B$15),0)), "NA"))</f>
        <v>1C</v>
      </c>
      <c r="V35" s="25">
        <f t="shared" si="5"/>
        <v>0</v>
      </c>
      <c r="W35" s="25" t="str" cm="1">
        <f t="array" ref="W35">IF(OR(M35="NA",M35="NR",ISBLANK(M35)),M35,IFERROR(INDEX([2]Result!$C$7:$C$15,MATCH(1,(M35&gt;=[2]Result!$A$7:$A$15)*(M35&lt;=[2]Result!$B$7:$B$15),0)), "NA"))</f>
        <v>1A</v>
      </c>
    </row>
    <row r="36" spans="1:23" ht="15.75" x14ac:dyDescent="0.25">
      <c r="A36" s="40">
        <v>25</v>
      </c>
      <c r="B36" s="41">
        <v>6571</v>
      </c>
      <c r="C36" s="40" t="str">
        <f>'[2]Evalution 25'!B26</f>
        <v>Alsayed Abo Bakr Abdelhay Abdullah</v>
      </c>
      <c r="D36" s="42">
        <v>44290</v>
      </c>
      <c r="E36" s="40" t="str">
        <f>'[2]Evalution 25'!C26</f>
        <v>Cairo</v>
      </c>
      <c r="F36" s="40" t="str">
        <f>'[2]Evalution 25'!E26</f>
        <v>Traffic Supervisor</v>
      </c>
      <c r="G36" s="40" t="str">
        <f>'[2]Evalution 25'!D26</f>
        <v>Traffic</v>
      </c>
      <c r="H36" s="40">
        <f>'[2]Evalutaion 23'!G18</f>
        <v>4</v>
      </c>
      <c r="I36" s="40">
        <f>'[2]Evalutaion 23'!H18</f>
        <v>4</v>
      </c>
      <c r="J36" s="40">
        <f t="shared" si="0"/>
        <v>4</v>
      </c>
      <c r="K36" s="40">
        <f>'[2]Evalutaion 24'!G21</f>
        <v>3.6</v>
      </c>
      <c r="L36" s="40">
        <f>'[2]Evalutaion 24'!H21</f>
        <v>3.5</v>
      </c>
      <c r="M36" s="40">
        <f t="shared" si="1"/>
        <v>3.55</v>
      </c>
      <c r="N36" s="40">
        <f>'[2]Evalution 25'!G26</f>
        <v>3.7</v>
      </c>
      <c r="O36" s="40">
        <f>'[2]Evalution 25'!H26</f>
        <v>4</v>
      </c>
      <c r="P36" s="40">
        <f t="shared" si="2"/>
        <v>3.85</v>
      </c>
      <c r="Q36" s="43">
        <f t="shared" si="6"/>
        <v>2.85</v>
      </c>
      <c r="R36" s="43" t="str">
        <f t="shared" si="3"/>
        <v>High</v>
      </c>
      <c r="S36" s="45" t="str">
        <f>IFERROR( _xlfn.XLOOKUP(Q36,[2]Result!$A$7:$A$15,[2]Result!$C$7:$C$15,"Out of range",-1),"N/A")</f>
        <v>2B</v>
      </c>
      <c r="T36" s="43">
        <f t="shared" si="4"/>
        <v>4</v>
      </c>
      <c r="U36" s="25" t="str" cm="1">
        <f t="array" ref="U36">IF(OR(J36="NA",J36="NR",ISBLANK(J36)),J36,IFERROR(INDEX([2]Result!$C$7:$C$15,MATCH(1,(J36&gt;=[2]Result!$A$7:$A$15)*(J36&lt;=[2]Result!$B$7:$B$15),0)), "NA"))</f>
        <v>3A</v>
      </c>
      <c r="V36" s="25">
        <f t="shared" si="5"/>
        <v>3.55</v>
      </c>
      <c r="W36" s="25" t="str" cm="1">
        <f t="array" ref="W36">IF(OR(M36="NA",M36="NR",ISBLANK(M36)),M36,IFERROR(INDEX([2]Result!$C$7:$C$15,MATCH(1,(M36&gt;=[2]Result!$A$7:$A$15)*(M36&lt;=[2]Result!$B$7:$B$15),0)), "NA"))</f>
        <v>NA</v>
      </c>
    </row>
    <row r="37" spans="1:23" ht="15.75" x14ac:dyDescent="0.25">
      <c r="A37" s="40">
        <v>26</v>
      </c>
      <c r="B37" s="41">
        <v>6552</v>
      </c>
      <c r="C37" s="40" t="str">
        <f>'[2]Evalution 25'!B27</f>
        <v>Amira Mohamed Ali Soliman Soltan</v>
      </c>
      <c r="D37" s="42">
        <v>44197</v>
      </c>
      <c r="E37" s="40" t="str">
        <f>'[2]Evalution 25'!C27</f>
        <v>Cairo</v>
      </c>
      <c r="F37" s="40" t="str">
        <f>'[2]Evalution 25'!E27</f>
        <v>Sales Manager</v>
      </c>
      <c r="G37" s="40" t="str">
        <f>'[2]Evalution 25'!D27</f>
        <v>Agency Partnerships</v>
      </c>
      <c r="H37" s="40">
        <f>'[2]Evalutaion 23'!G19</f>
        <v>4.7</v>
      </c>
      <c r="I37" s="40">
        <f>'[2]Evalutaion 23'!H19</f>
        <v>4.3</v>
      </c>
      <c r="J37" s="40">
        <f t="shared" si="0"/>
        <v>4.5</v>
      </c>
      <c r="K37" s="40">
        <f>'[2]Evalutaion 24'!G22</f>
        <v>4.3</v>
      </c>
      <c r="L37" s="40">
        <f>'[2]Evalutaion 24'!H22</f>
        <v>4</v>
      </c>
      <c r="M37" s="40">
        <f t="shared" si="1"/>
        <v>4.1500000000000004</v>
      </c>
      <c r="N37" s="40">
        <f>'[2]Evalution 25'!G27</f>
        <v>4</v>
      </c>
      <c r="O37" s="40">
        <f>'[2]Evalution 25'!H27</f>
        <v>4</v>
      </c>
      <c r="P37" s="40">
        <f t="shared" si="2"/>
        <v>4</v>
      </c>
      <c r="Q37" s="43">
        <f t="shared" si="6"/>
        <v>3.1625000000000001</v>
      </c>
      <c r="R37" s="43" t="str">
        <f t="shared" si="3"/>
        <v>High</v>
      </c>
      <c r="S37" s="44" t="str">
        <f>IFERROR( _xlfn.XLOOKUP(Q37,[2]Result!$A$7:$A$15,[2]Result!$C$7:$C$15,"Out of range",-1),"N/A")</f>
        <v>2C</v>
      </c>
      <c r="T37" s="43">
        <f t="shared" si="4"/>
        <v>4.5</v>
      </c>
      <c r="U37" s="25" t="str" cm="1">
        <f t="array" ref="U37">IF(OR(J37="NA",J37="NR",ISBLANK(J37)),J37,IFERROR(INDEX([2]Result!$C$7:$C$15,MATCH(1,(J37&gt;=[2]Result!$A$7:$A$15)*(J37&lt;=[2]Result!$B$7:$B$15),0)), "NA"))</f>
        <v>3B</v>
      </c>
      <c r="V37" s="25">
        <f t="shared" si="5"/>
        <v>4.1500000000000004</v>
      </c>
      <c r="W37" s="25" t="str" cm="1">
        <f t="array" ref="W37">IF(OR(M37="NA",M37="NR",ISBLANK(M37)),M37,IFERROR(INDEX([2]Result!$C$7:$C$15,MATCH(1,(M37&gt;=[2]Result!$A$7:$A$15)*(M37&lt;=[2]Result!$B$7:$B$15),0)), "NA"))</f>
        <v>3B</v>
      </c>
    </row>
    <row r="38" spans="1:23" ht="15.75" x14ac:dyDescent="0.25">
      <c r="A38" s="40">
        <v>27</v>
      </c>
      <c r="B38" s="41">
        <v>31257</v>
      </c>
      <c r="C38" s="40" t="str">
        <f>'[2]Evalution 25'!B28</f>
        <v>Ammar Sami Hassan Subki</v>
      </c>
      <c r="D38" s="42">
        <v>44501</v>
      </c>
      <c r="E38" s="40" t="str">
        <f>'[2]Evalution 25'!C28</f>
        <v>Riyadh</v>
      </c>
      <c r="F38" s="40" t="str">
        <f>'[2]Evalution 25'!E28</f>
        <v>Head of HR and Admin Services</v>
      </c>
      <c r="G38" s="40" t="str">
        <f>'[2]Evalution 25'!D28</f>
        <v>HR</v>
      </c>
      <c r="H38" s="40">
        <f>'[2]Evalutaion 23'!G20</f>
        <v>4</v>
      </c>
      <c r="I38" s="40">
        <f>'[2]Evalutaion 23'!H20</f>
        <v>3.8</v>
      </c>
      <c r="J38" s="40">
        <f t="shared" si="0"/>
        <v>3.9</v>
      </c>
      <c r="K38" s="40">
        <f>'[2]Evalutaion 24'!G23</f>
        <v>4.7</v>
      </c>
      <c r="L38" s="40">
        <f>'[2]Evalutaion 24'!H23</f>
        <v>4.5</v>
      </c>
      <c r="M38" s="40">
        <f t="shared" si="1"/>
        <v>4.5999999999999996</v>
      </c>
      <c r="N38" s="40">
        <f>'[2]Evalution 25'!G28</f>
        <v>4.7</v>
      </c>
      <c r="O38" s="40">
        <f>'[2]Evalution 25'!H28</f>
        <v>4.8</v>
      </c>
      <c r="P38" s="40">
        <f t="shared" si="2"/>
        <v>4.75</v>
      </c>
      <c r="Q38" s="43">
        <f t="shared" si="6"/>
        <v>3.3125</v>
      </c>
      <c r="R38" s="43" t="str">
        <f t="shared" si="3"/>
        <v>High</v>
      </c>
      <c r="S38" s="44" t="str">
        <f>IFERROR( _xlfn.XLOOKUP(Q38,[2]Result!$A$7:$A$15,[2]Result!$C$7:$C$15,"Out of range",-1),"N/A")</f>
        <v>2C</v>
      </c>
      <c r="T38" s="43">
        <f t="shared" si="4"/>
        <v>3.9</v>
      </c>
      <c r="U38" s="25" t="str" cm="1">
        <f t="array" ref="U38">IF(OR(J38="NA",J38="NR",ISBLANK(J38)),J38,IFERROR(INDEX([2]Result!$C$7:$C$15,MATCH(1,(J38&gt;=[2]Result!$A$7:$A$15)*(J38&lt;=[2]Result!$B$7:$B$15),0)), "NA"))</f>
        <v>3A</v>
      </c>
      <c r="V38" s="25">
        <f t="shared" si="5"/>
        <v>4.5999999999999996</v>
      </c>
      <c r="W38" s="25" t="str" cm="1">
        <f t="array" ref="W38">IF(OR(M38="NA",M38="NR",ISBLANK(M38)),M38,IFERROR(INDEX([2]Result!$C$7:$C$15,MATCH(1,(M38&gt;=[2]Result!$A$7:$A$15)*(M38&lt;=[2]Result!$B$7:$B$15),0)), "NA"))</f>
        <v>3C</v>
      </c>
    </row>
    <row r="39" spans="1:23" ht="15.75" x14ac:dyDescent="0.25">
      <c r="A39" s="40">
        <v>28</v>
      </c>
      <c r="B39" s="41">
        <v>6614</v>
      </c>
      <c r="C39" s="40" t="str">
        <f>'[2]Evalution 25'!B29</f>
        <v>Amr Reda Amer Ghoniem</v>
      </c>
      <c r="D39" s="42">
        <v>44501</v>
      </c>
      <c r="E39" s="40" t="str">
        <f>'[2]Evalution 25'!C29</f>
        <v>Cairo</v>
      </c>
      <c r="F39" s="40" t="str">
        <f>'[2]Evalution 25'!E29</f>
        <v>Office Boy</v>
      </c>
      <c r="G39" s="40" t="str">
        <f>'[2]Evalution 25'!D29</f>
        <v>Admin</v>
      </c>
      <c r="H39" s="40">
        <f>'[2]Evalutaion 23'!G21</f>
        <v>3</v>
      </c>
      <c r="I39" s="40">
        <f>'[2]Evalutaion 23'!H21</f>
        <v>3</v>
      </c>
      <c r="J39" s="40">
        <f t="shared" si="0"/>
        <v>3</v>
      </c>
      <c r="K39" s="40">
        <f>'[2]Evalutaion 24'!G24</f>
        <v>3</v>
      </c>
      <c r="L39" s="40">
        <f>'[2]Evalutaion 24'!H24</f>
        <v>3</v>
      </c>
      <c r="M39" s="40">
        <f t="shared" si="1"/>
        <v>3</v>
      </c>
      <c r="N39" s="40">
        <f>'[2]Evalution 25'!G29</f>
        <v>3</v>
      </c>
      <c r="O39" s="40">
        <f>'[2]Evalution 25'!H29</f>
        <v>3</v>
      </c>
      <c r="P39" s="40">
        <f t="shared" si="2"/>
        <v>3</v>
      </c>
      <c r="Q39" s="43">
        <f t="shared" si="6"/>
        <v>2.25</v>
      </c>
      <c r="R39" s="43" t="str">
        <f t="shared" si="3"/>
        <v>Average</v>
      </c>
      <c r="S39" s="45" t="str">
        <f>IFERROR( _xlfn.XLOOKUP(Q39,[2]Result!$A$7:$A$15,[2]Result!$C$7:$C$15,"Out of range",-1),"N/A")</f>
        <v>2A</v>
      </c>
      <c r="T39" s="43">
        <f t="shared" si="4"/>
        <v>3</v>
      </c>
      <c r="U39" s="25" t="str" cm="1">
        <f t="array" ref="U39">IF(OR(J39="NA",J39="NR",ISBLANK(J39)),J39,IFERROR(INDEX([2]Result!$C$7:$C$15,MATCH(1,(J39&gt;=[2]Result!$A$7:$A$15)*(J39&lt;=[2]Result!$B$7:$B$15),0)), "NA"))</f>
        <v>2B</v>
      </c>
      <c r="V39" s="25">
        <f t="shared" si="5"/>
        <v>3</v>
      </c>
      <c r="W39" s="25" t="str" cm="1">
        <f t="array" ref="W39">IF(OR(M39="NA",M39="NR",ISBLANK(M39)),M39,IFERROR(INDEX([2]Result!$C$7:$C$15,MATCH(1,(M39&gt;=[2]Result!$A$7:$A$15)*(M39&lt;=[2]Result!$B$7:$B$15),0)), "NA"))</f>
        <v>2B</v>
      </c>
    </row>
    <row r="40" spans="1:23" ht="15.75" x14ac:dyDescent="0.25">
      <c r="A40" s="40">
        <v>29</v>
      </c>
      <c r="B40" s="41">
        <v>10845</v>
      </c>
      <c r="C40" s="40" t="str">
        <f>'[2]Evalution 25'!B30</f>
        <v xml:space="preserve">Angelica Villena </v>
      </c>
      <c r="D40" s="42">
        <v>44297</v>
      </c>
      <c r="E40" s="40" t="str">
        <f>'[2]Evalution 25'!C30</f>
        <v>Dubai</v>
      </c>
      <c r="F40" s="40" t="str">
        <f>'[2]Evalution 25'!E30</f>
        <v>Senior Traffic Operations</v>
      </c>
      <c r="G40" s="40" t="str">
        <f>'[2]Evalution 25'!D30</f>
        <v>Traffic</v>
      </c>
      <c r="H40" s="40">
        <f>'[2]Evalutaion 23'!G22</f>
        <v>4.3</v>
      </c>
      <c r="I40" s="40">
        <f>'[2]Evalutaion 23'!H22</f>
        <v>4.8</v>
      </c>
      <c r="J40" s="40">
        <f t="shared" si="0"/>
        <v>4.55</v>
      </c>
      <c r="K40" s="40">
        <f>'[2]Evalutaion 24'!G25</f>
        <v>4.5999999999999996</v>
      </c>
      <c r="L40" s="40">
        <f>'[2]Evalutaion 24'!H25</f>
        <v>4.7</v>
      </c>
      <c r="M40" s="40">
        <f t="shared" si="1"/>
        <v>4.6500000000000004</v>
      </c>
      <c r="N40" s="40">
        <f>'[2]Evalution 25'!G30</f>
        <v>4.9000000000000004</v>
      </c>
      <c r="O40" s="40">
        <f>'[2]Evalution 25'!H30</f>
        <v>4.8</v>
      </c>
      <c r="P40" s="40">
        <f t="shared" si="2"/>
        <v>4.8499999999999996</v>
      </c>
      <c r="Q40" s="43">
        <f t="shared" si="6"/>
        <v>3.5124999999999997</v>
      </c>
      <c r="R40" s="43" t="str">
        <f t="shared" si="3"/>
        <v>High</v>
      </c>
      <c r="S40" s="46" t="str">
        <f>IFERROR( _xlfn.XLOOKUP(Q40,[2]Result!$A$7:$A$15,[2]Result!$C$7:$C$15,"Out of range",-1),"N/A")</f>
        <v>2C</v>
      </c>
      <c r="T40" s="43">
        <f t="shared" si="4"/>
        <v>4.55</v>
      </c>
      <c r="U40" s="25" t="str" cm="1">
        <f t="array" ref="U40">IF(OR(J40="NA",J40="NR",ISBLANK(J40)),J40,IFERROR(INDEX([2]Result!$C$7:$C$15,MATCH(1,(J40&gt;=[2]Result!$A$7:$A$15)*(J40&lt;=[2]Result!$B$7:$B$15),0)), "NA"))</f>
        <v>NA</v>
      </c>
      <c r="V40" s="25">
        <f t="shared" si="5"/>
        <v>4.6500000000000004</v>
      </c>
      <c r="W40" s="25" t="str" cm="1">
        <f t="array" ref="W40">IF(OR(M40="NA",M40="NR",ISBLANK(M40)),M40,IFERROR(INDEX([2]Result!$C$7:$C$15,MATCH(1,(M40&gt;=[2]Result!$A$7:$A$15)*(M40&lt;=[2]Result!$B$7:$B$15),0)), "NA"))</f>
        <v>3C</v>
      </c>
    </row>
    <row r="41" spans="1:23" ht="15.75" x14ac:dyDescent="0.25">
      <c r="A41" s="40">
        <v>30</v>
      </c>
      <c r="B41" s="41">
        <v>10312</v>
      </c>
      <c r="C41" s="40" t="str">
        <f>'[2]Evalution 25'!B31</f>
        <v xml:space="preserve">Arlene Belleza Patrimonio </v>
      </c>
      <c r="D41" s="42">
        <v>44171</v>
      </c>
      <c r="E41" s="40" t="str">
        <f>'[2]Evalution 25'!C31</f>
        <v>Dubai</v>
      </c>
      <c r="F41" s="40" t="str">
        <f>'[2]Evalution 25'!E31</f>
        <v>Senior Traffic Executive</v>
      </c>
      <c r="G41" s="40" t="str">
        <f>'[2]Evalution 25'!D31</f>
        <v>Traffic</v>
      </c>
      <c r="H41" s="40">
        <f>'[2]Evalutaion 23'!G23</f>
        <v>3.6</v>
      </c>
      <c r="I41" s="40">
        <f>'[2]Evalutaion 23'!H23</f>
        <v>3.5</v>
      </c>
      <c r="J41" s="40">
        <f t="shared" si="0"/>
        <v>3.55</v>
      </c>
      <c r="K41" s="40">
        <f>'[2]Evalutaion 24'!G26</f>
        <v>4</v>
      </c>
      <c r="L41" s="40">
        <f>'[2]Evalutaion 24'!H26</f>
        <v>4</v>
      </c>
      <c r="M41" s="40">
        <f t="shared" si="1"/>
        <v>4</v>
      </c>
      <c r="N41" s="40">
        <f>'[2]Evalution 25'!G31</f>
        <v>3.8</v>
      </c>
      <c r="O41" s="40">
        <f>'[2]Evalution 25'!H31</f>
        <v>3.8</v>
      </c>
      <c r="P41" s="40">
        <f t="shared" si="2"/>
        <v>3.8</v>
      </c>
      <c r="Q41" s="43">
        <f t="shared" si="6"/>
        <v>2.8374999999999999</v>
      </c>
      <c r="R41" s="43" t="str">
        <f t="shared" si="3"/>
        <v>High</v>
      </c>
      <c r="S41" s="45" t="str">
        <f>IFERROR( _xlfn.XLOOKUP(Q41,[2]Result!$A$7:$A$15,[2]Result!$C$7:$C$15,"Out of range",-1),"N/A")</f>
        <v>2B</v>
      </c>
      <c r="T41" s="43">
        <f t="shared" si="4"/>
        <v>3.55</v>
      </c>
      <c r="U41" s="25" t="str" cm="1">
        <f t="array" ref="U41">IF(OR(J41="NA",J41="NR",ISBLANK(J41)),J41,IFERROR(INDEX([2]Result!$C$7:$C$15,MATCH(1,(J41&gt;=[2]Result!$A$7:$A$15)*(J41&lt;=[2]Result!$B$7:$B$15),0)), "NA"))</f>
        <v>NA</v>
      </c>
      <c r="V41" s="25">
        <f t="shared" si="5"/>
        <v>4</v>
      </c>
      <c r="W41" s="25" t="str" cm="1">
        <f t="array" ref="W41">IF(OR(M41="NA",M41="NR",ISBLANK(M41)),M41,IFERROR(INDEX([2]Result!$C$7:$C$15,MATCH(1,(M41&gt;=[2]Result!$A$7:$A$15)*(M41&lt;=[2]Result!$B$7:$B$15),0)), "NA"))</f>
        <v>3A</v>
      </c>
    </row>
    <row r="42" spans="1:23" ht="15.75" x14ac:dyDescent="0.25">
      <c r="A42" s="40">
        <v>31</v>
      </c>
      <c r="B42" s="41">
        <v>31254</v>
      </c>
      <c r="C42" s="40" t="str">
        <f>'[2]Evalution 25'!B32</f>
        <v>Assaad Boujawdeh</v>
      </c>
      <c r="D42" s="42">
        <v>44458</v>
      </c>
      <c r="E42" s="40" t="str">
        <f>'[2]Evalution 25'!C32</f>
        <v>Riyadh</v>
      </c>
      <c r="F42" s="40" t="str">
        <f>'[2]Evalution 25'!E32</f>
        <v>Client Growth Senior Manager</v>
      </c>
      <c r="G42" s="40" t="str">
        <f>'[2]Evalution 25'!D32</f>
        <v>Client Growth</v>
      </c>
      <c r="H42" s="40">
        <f>'[2]Evalutaion 23'!G24</f>
        <v>3.4</v>
      </c>
      <c r="I42" s="40">
        <f>'[2]Evalutaion 23'!H24</f>
        <v>3.3</v>
      </c>
      <c r="J42" s="40">
        <f t="shared" si="0"/>
        <v>3.3499999999999996</v>
      </c>
      <c r="K42" s="40">
        <f>'[2]Evalutaion 24'!G27</f>
        <v>3.4</v>
      </c>
      <c r="L42" s="40">
        <f>'[2]Evalutaion 24'!H27</f>
        <v>3.8</v>
      </c>
      <c r="M42" s="40">
        <f t="shared" si="1"/>
        <v>3.5999999999999996</v>
      </c>
      <c r="N42" s="40">
        <f>'[2]Evalution 25'!G32</f>
        <v>3.1</v>
      </c>
      <c r="O42" s="40">
        <f>'[2]Evalution 25'!H32</f>
        <v>3.8</v>
      </c>
      <c r="P42" s="40">
        <f t="shared" si="2"/>
        <v>3.45</v>
      </c>
      <c r="Q42" s="43">
        <f t="shared" si="6"/>
        <v>2.5999999999999996</v>
      </c>
      <c r="R42" s="43" t="str">
        <f t="shared" si="3"/>
        <v>Average</v>
      </c>
      <c r="S42" s="44" t="str">
        <f>IFERROR( _xlfn.XLOOKUP(Q42,[2]Result!$A$7:$A$15,[2]Result!$C$7:$C$15,"Out of range",-1),"N/A")</f>
        <v>2A</v>
      </c>
      <c r="T42" s="43">
        <f t="shared" si="4"/>
        <v>3.3499999999999996</v>
      </c>
      <c r="U42" s="25" t="str" cm="1">
        <f t="array" ref="U42">IF(OR(J42="NA",J42="NR",ISBLANK(J42)),J42,IFERROR(INDEX([2]Result!$C$7:$C$15,MATCH(1,(J42&gt;=[2]Result!$A$7:$A$15)*(J42&lt;=[2]Result!$B$7:$B$15),0)), "NA"))</f>
        <v>2C</v>
      </c>
      <c r="V42" s="25">
        <f t="shared" si="5"/>
        <v>3.5999999999999996</v>
      </c>
      <c r="W42" s="25" t="str" cm="1">
        <f t="array" ref="W42">IF(OR(M42="NA",M42="NR",ISBLANK(M42)),M42,IFERROR(INDEX([2]Result!$C$7:$C$15,MATCH(1,(M42&gt;=[2]Result!$A$7:$A$15)*(M42&lt;=[2]Result!$B$7:$B$15),0)), "NA"))</f>
        <v>3A</v>
      </c>
    </row>
    <row r="43" spans="1:23" ht="15.75" x14ac:dyDescent="0.25">
      <c r="A43" s="40">
        <v>32</v>
      </c>
      <c r="B43" s="41">
        <v>47611</v>
      </c>
      <c r="C43" s="40" t="str">
        <f>'[2]Evalution 25'!B33</f>
        <v>Cecille Ponsica Mago</v>
      </c>
      <c r="D43" s="42">
        <v>45166</v>
      </c>
      <c r="E43" s="40" t="str">
        <f>'[2]Evalution 25'!C33</f>
        <v>Dubai</v>
      </c>
      <c r="F43" s="40" t="str">
        <f>'[2]Evalution 25'!E33</f>
        <v>Office Attendant</v>
      </c>
      <c r="G43" s="40" t="str">
        <f>'[2]Evalution 25'!D33</f>
        <v>Admin</v>
      </c>
      <c r="H43" s="40">
        <f>'[2]Evalutaion 23'!G25</f>
        <v>0</v>
      </c>
      <c r="I43" s="40">
        <f>'[2]Evalutaion 23'!H25</f>
        <v>4</v>
      </c>
      <c r="J43" s="40">
        <f t="shared" si="0"/>
        <v>2</v>
      </c>
      <c r="K43" s="40">
        <f>'[2]Evalutaion 24'!G28</f>
        <v>5</v>
      </c>
      <c r="L43" s="40">
        <f>'[2]Evalutaion 24'!H28</f>
        <v>4.5</v>
      </c>
      <c r="M43" s="40">
        <f t="shared" si="1"/>
        <v>4.75</v>
      </c>
      <c r="N43" s="40">
        <f>'[2]Evalution 25'!G33</f>
        <v>0</v>
      </c>
      <c r="O43" s="40">
        <f>'[2]Evalution 25'!H33</f>
        <v>4.2</v>
      </c>
      <c r="P43" s="40">
        <f t="shared" si="2"/>
        <v>2.1</v>
      </c>
      <c r="Q43" s="43">
        <f t="shared" si="6"/>
        <v>2.2124999999999999</v>
      </c>
      <c r="R43" s="43" t="str">
        <f t="shared" si="3"/>
        <v>Poor</v>
      </c>
      <c r="S43" s="45" t="str">
        <f>IFERROR( _xlfn.XLOOKUP(Q43,[2]Result!$A$7:$A$15,[2]Result!$C$7:$C$15,"Out of range",-1),"N/A")</f>
        <v>2A</v>
      </c>
      <c r="T43" s="43">
        <f t="shared" si="4"/>
        <v>2</v>
      </c>
      <c r="U43" s="25" t="str" cm="1">
        <f t="array" ref="U43">IF(OR(J43="NA",J43="NR",ISBLANK(J43)),J43,IFERROR(INDEX([2]Result!$C$7:$C$15,MATCH(1,(J43&gt;=[2]Result!$A$7:$A$15)*(J43&lt;=[2]Result!$B$7:$B$15),0)), "NA"))</f>
        <v>1C</v>
      </c>
      <c r="V43" s="25">
        <f t="shared" si="5"/>
        <v>4.75</v>
      </c>
      <c r="W43" s="25" t="str" cm="1">
        <f t="array" ref="W43">IF(OR(M43="NA",M43="NR",ISBLANK(M43)),M43,IFERROR(INDEX([2]Result!$C$7:$C$15,MATCH(1,(M43&gt;=[2]Result!$A$7:$A$15)*(M43&lt;=[2]Result!$B$7:$B$15),0)), "NA"))</f>
        <v>3C</v>
      </c>
    </row>
    <row r="44" spans="1:23" ht="15.75" x14ac:dyDescent="0.25">
      <c r="A44" s="40">
        <v>33</v>
      </c>
      <c r="B44" s="41">
        <v>49914</v>
      </c>
      <c r="C44" s="40" t="str">
        <f>'[2]Evalution 25'!B34</f>
        <v>Chorouk Hassan Khoudari</v>
      </c>
      <c r="D44" s="42">
        <v>45649</v>
      </c>
      <c r="E44" s="40" t="str">
        <f>'[2]Evalution 25'!C34</f>
        <v>Dubai</v>
      </c>
      <c r="F44" s="40" t="str">
        <f>'[2]Evalution 25'!E34</f>
        <v>Research &amp; Measurement Senior Manager</v>
      </c>
      <c r="G44" s="40" t="str">
        <f>'[2]Evalution 25'!D34</f>
        <v>Research</v>
      </c>
      <c r="H44" s="40" t="s">
        <v>554</v>
      </c>
      <c r="I44" s="40" t="s">
        <v>554</v>
      </c>
      <c r="J44" s="40" t="str">
        <f t="shared" si="0"/>
        <v>NA</v>
      </c>
      <c r="K44" s="40" t="s">
        <v>554</v>
      </c>
      <c r="L44" s="40" t="s">
        <v>554</v>
      </c>
      <c r="M44" s="40" t="str">
        <f t="shared" si="1"/>
        <v>NR</v>
      </c>
      <c r="N44" s="40">
        <f>'[2]Evalution 25'!G34</f>
        <v>4</v>
      </c>
      <c r="O44" s="40">
        <f>'[2]Evalution 25'!H34</f>
        <v>4</v>
      </c>
      <c r="P44" s="40">
        <f t="shared" si="2"/>
        <v>4</v>
      </c>
      <c r="Q44" s="43">
        <f t="shared" si="6"/>
        <v>2</v>
      </c>
      <c r="R44" s="43" t="str">
        <f t="shared" si="3"/>
        <v>High</v>
      </c>
      <c r="S44" s="45" t="str">
        <f>IFERROR( _xlfn.XLOOKUP(Q44,[2]Result!$A$7:$A$15,[2]Result!$C$7:$C$15,"Out of range",-1),"N/A")</f>
        <v>1C</v>
      </c>
      <c r="T44" s="43" t="str">
        <f t="shared" si="4"/>
        <v>NA</v>
      </c>
      <c r="U44" s="25" t="str" cm="1">
        <f t="array" ref="U44">IF(OR(J44="NA",J44="NR",ISBLANK(J44)),J44,IFERROR(INDEX([2]Result!$C$7:$C$15,MATCH(1,(J44&gt;=[2]Result!$A$7:$A$15)*(J44&lt;=[2]Result!$B$7:$B$15),0)), "NA"))</f>
        <v>NA</v>
      </c>
      <c r="V44" s="25" t="str">
        <f t="shared" si="5"/>
        <v>NR</v>
      </c>
      <c r="W44" s="25" t="str" cm="1">
        <f t="array" ref="W44">IF(OR(M44="NA",M44="NR",ISBLANK(M44)),M44,IFERROR(INDEX([2]Result!$C$7:$C$15,MATCH(1,(M44&gt;=[2]Result!$A$7:$A$15)*(M44&lt;=[2]Result!$B$7:$B$15),0)), "NA"))</f>
        <v>NR</v>
      </c>
    </row>
    <row r="45" spans="1:23" ht="15.75" x14ac:dyDescent="0.25">
      <c r="A45" s="40">
        <v>34</v>
      </c>
      <c r="B45" s="41">
        <v>4363</v>
      </c>
      <c r="C45" s="40" t="str">
        <f>'[2]Evalution 25'!B35</f>
        <v xml:space="preserve">Claire Kabbani </v>
      </c>
      <c r="D45" s="42">
        <v>42550</v>
      </c>
      <c r="E45" s="40" t="str">
        <f>'[2]Evalution 25'!C35</f>
        <v>Dubai</v>
      </c>
      <c r="F45" s="40" t="str">
        <f>'[2]Evalution 25'!E35</f>
        <v>Client Growth Manager</v>
      </c>
      <c r="G45" s="40" t="str">
        <f>'[2]Evalution 25'!D35</f>
        <v>Client Growth</v>
      </c>
      <c r="H45" s="40">
        <f>'[2]Evalutaion 23'!G26</f>
        <v>5</v>
      </c>
      <c r="I45" s="40">
        <f>'[2]Evalutaion 23'!H26</f>
        <v>4.8</v>
      </c>
      <c r="J45" s="40">
        <f t="shared" si="0"/>
        <v>4.9000000000000004</v>
      </c>
      <c r="K45" s="40">
        <f>'[2]Evalutaion 24'!G29</f>
        <v>5</v>
      </c>
      <c r="L45" s="40">
        <f>'[2]Evalutaion 24'!H29</f>
        <v>4.8</v>
      </c>
      <c r="M45" s="40">
        <f t="shared" si="1"/>
        <v>4.9000000000000004</v>
      </c>
      <c r="N45" s="40">
        <f>'[2]Evalution 25'!G35</f>
        <v>5</v>
      </c>
      <c r="O45" s="40">
        <f>'[2]Evalution 25'!G35</f>
        <v>5</v>
      </c>
      <c r="P45" s="40">
        <f t="shared" si="2"/>
        <v>5</v>
      </c>
      <c r="Q45" s="43">
        <f t="shared" si="6"/>
        <v>3.7</v>
      </c>
      <c r="R45" s="43" t="str">
        <f t="shared" si="3"/>
        <v>High</v>
      </c>
      <c r="S45" s="46" t="str">
        <f>IFERROR( _xlfn.XLOOKUP(Q45,[2]Result!$A$7:$A$15,[2]Result!$C$7:$C$15,"Out of range",-1),"N/A")</f>
        <v>3A</v>
      </c>
      <c r="T45" s="43">
        <f t="shared" si="4"/>
        <v>4.9000000000000004</v>
      </c>
      <c r="U45" s="25" t="str" cm="1">
        <f t="array" ref="U45">IF(OR(J45="NA",J45="NR",ISBLANK(J45)),J45,IFERROR(INDEX([2]Result!$C$7:$C$15,MATCH(1,(J45&gt;=[2]Result!$A$7:$A$15)*(J45&lt;=[2]Result!$B$7:$B$15),0)), "NA"))</f>
        <v>3C</v>
      </c>
      <c r="V45" s="25">
        <f t="shared" si="5"/>
        <v>4.9000000000000004</v>
      </c>
      <c r="W45" s="25" t="str" cm="1">
        <f t="array" ref="W45">IF(OR(M45="NA",M45="NR",ISBLANK(M45)),M45,IFERROR(INDEX([2]Result!$C$7:$C$15,MATCH(1,(M45&gt;=[2]Result!$A$7:$A$15)*(M45&lt;=[2]Result!$B$7:$B$15),0)), "NA"))</f>
        <v>3C</v>
      </c>
    </row>
    <row r="46" spans="1:23" ht="15.75" x14ac:dyDescent="0.25">
      <c r="A46" s="40">
        <v>35</v>
      </c>
      <c r="B46" s="41">
        <v>49623</v>
      </c>
      <c r="C46" s="40" t="str">
        <f>'[2]Evalution 25'!B36</f>
        <v>Clifford Issac Nicholas Joseph</v>
      </c>
      <c r="D46" s="42">
        <v>45530</v>
      </c>
      <c r="E46" s="40" t="str">
        <f>'[2]Evalution 25'!C36</f>
        <v>Dubai</v>
      </c>
      <c r="F46" s="40" t="str">
        <f>'[2]Evalution 25'!E36</f>
        <v>Senior Traffic Executive - Digital</v>
      </c>
      <c r="G46" s="40" t="str">
        <f>'[2]Evalution 25'!D36</f>
        <v>Traffic</v>
      </c>
      <c r="H46" s="40" t="s">
        <v>554</v>
      </c>
      <c r="I46" s="40" t="s">
        <v>554</v>
      </c>
      <c r="J46" s="40" t="str">
        <f t="shared" si="0"/>
        <v>NA</v>
      </c>
      <c r="K46" s="40">
        <f>'[2]Evalutaion 24'!G30</f>
        <v>3.1</v>
      </c>
      <c r="L46" s="40">
        <f>'[2]Evalutaion 24'!H30</f>
        <v>3.3</v>
      </c>
      <c r="M46" s="40">
        <f t="shared" si="1"/>
        <v>3.2</v>
      </c>
      <c r="N46" s="40">
        <f>'[2]Evalution 25'!G36</f>
        <v>4</v>
      </c>
      <c r="O46" s="40">
        <f>'[2]Evalution 25'!H36</f>
        <v>3.8</v>
      </c>
      <c r="P46" s="40">
        <f t="shared" si="2"/>
        <v>3.9</v>
      </c>
      <c r="Q46" s="43">
        <f t="shared" si="6"/>
        <v>2.3666666666666667</v>
      </c>
      <c r="R46" s="43" t="str">
        <f t="shared" si="3"/>
        <v>High</v>
      </c>
      <c r="S46" s="44" t="str">
        <f>IFERROR( _xlfn.XLOOKUP(Q46,[2]Result!$A$7:$A$15,[2]Result!$C$7:$C$15,"Out of range",-1),"N/A")</f>
        <v>2A</v>
      </c>
      <c r="T46" s="43" t="str">
        <f t="shared" si="4"/>
        <v>NA</v>
      </c>
      <c r="U46" s="25" t="str" cm="1">
        <f t="array" ref="U46">IF(OR(J46="NA",J46="NR",ISBLANK(J46)),J46,IFERROR(INDEX([2]Result!$C$7:$C$15,MATCH(1,(J46&gt;=[2]Result!$A$7:$A$15)*(J46&lt;=[2]Result!$B$7:$B$15),0)), "NA"))</f>
        <v>NA</v>
      </c>
      <c r="V46" s="25">
        <f t="shared" si="5"/>
        <v>3.2</v>
      </c>
      <c r="W46" s="25" t="str" cm="1">
        <f t="array" ref="W46">IF(OR(M46="NA",M46="NR",ISBLANK(M46)),M46,IFERROR(INDEX([2]Result!$C$7:$C$15,MATCH(1,(M46&gt;=[2]Result!$A$7:$A$15)*(M46&lt;=[2]Result!$B$7:$B$15),0)), "NA"))</f>
        <v>2C</v>
      </c>
    </row>
    <row r="47" spans="1:23" ht="15.75" x14ac:dyDescent="0.25">
      <c r="A47" s="40">
        <v>36</v>
      </c>
      <c r="B47" s="41">
        <v>49401</v>
      </c>
      <c r="C47" s="40" t="str">
        <f>'[2]Evalution 25'!B37</f>
        <v>Dana Reda Rasmy Boraey</v>
      </c>
      <c r="D47" s="42">
        <v>45474</v>
      </c>
      <c r="E47" s="40" t="str">
        <f>'[2]Evalution 25'!C37</f>
        <v>Dubai</v>
      </c>
      <c r="F47" s="40" t="str">
        <f>'[2]Evalution 25'!E37</f>
        <v>Client Growth Executive</v>
      </c>
      <c r="G47" s="40" t="str">
        <f>'[2]Evalution 25'!D37</f>
        <v>Client Growth</v>
      </c>
      <c r="H47" s="40" t="s">
        <v>554</v>
      </c>
      <c r="I47" s="40" t="s">
        <v>554</v>
      </c>
      <c r="J47" s="40" t="str">
        <f t="shared" si="0"/>
        <v>NA</v>
      </c>
      <c r="K47" s="40">
        <f>'[2]Evalutaion 24'!G31</f>
        <v>3.9</v>
      </c>
      <c r="L47" s="40">
        <f>'[2]Evalutaion 24'!H31</f>
        <v>3.8</v>
      </c>
      <c r="M47" s="40">
        <f t="shared" si="1"/>
        <v>3.8499999999999996</v>
      </c>
      <c r="N47" s="40">
        <f>'[2]Evalution 25'!G37</f>
        <v>3.8</v>
      </c>
      <c r="O47" s="40">
        <f>'[2]Evalution 25'!H37</f>
        <v>4</v>
      </c>
      <c r="P47" s="40">
        <f t="shared" si="2"/>
        <v>3.9</v>
      </c>
      <c r="Q47" s="43">
        <f t="shared" si="6"/>
        <v>2.5833333333333335</v>
      </c>
      <c r="R47" s="43" t="str">
        <f t="shared" si="3"/>
        <v>High</v>
      </c>
      <c r="S47" s="45" t="str">
        <f>IFERROR( _xlfn.XLOOKUP(Q47,[2]Result!$A$7:$A$15,[2]Result!$C$7:$C$15,"Out of range",-1),"N/A")</f>
        <v>2A</v>
      </c>
      <c r="T47" s="43" t="str">
        <f t="shared" si="4"/>
        <v>NA</v>
      </c>
      <c r="U47" s="25" t="str" cm="1">
        <f t="array" ref="U47">IF(OR(J47="NA",J47="NR",ISBLANK(J47)),J47,IFERROR(INDEX([2]Result!$C$7:$C$15,MATCH(1,(J47&gt;=[2]Result!$A$7:$A$15)*(J47&lt;=[2]Result!$B$7:$B$15),0)), "NA"))</f>
        <v>NA</v>
      </c>
      <c r="V47" s="25">
        <f t="shared" si="5"/>
        <v>3.8499999999999996</v>
      </c>
      <c r="W47" s="25" t="str" cm="1">
        <f t="array" ref="W47">IF(OR(M47="NA",M47="NR",ISBLANK(M47)),M47,IFERROR(INDEX([2]Result!$C$7:$C$15,MATCH(1,(M47&gt;=[2]Result!$A$7:$A$15)*(M47&lt;=[2]Result!$B$7:$B$15),0)), "NA"))</f>
        <v>3A</v>
      </c>
    </row>
    <row r="48" spans="1:23" ht="15.75" x14ac:dyDescent="0.25">
      <c r="A48" s="40">
        <v>37</v>
      </c>
      <c r="B48" s="41">
        <v>10325</v>
      </c>
      <c r="C48" s="40" t="str">
        <f>'[2]Evalution 25'!B38</f>
        <v>Dana Tfaili</v>
      </c>
      <c r="D48" s="42">
        <v>44228</v>
      </c>
      <c r="E48" s="40" t="str">
        <f>'[2]Evalution 25'!C38</f>
        <v>Dubai</v>
      </c>
      <c r="F48" s="40" t="str">
        <f>'[2]Evalution 25'!E38</f>
        <v>Content Solutions Manager</v>
      </c>
      <c r="G48" s="40" t="str">
        <f>'[2]Evalution 25'!D38</f>
        <v>Content Solutions</v>
      </c>
      <c r="H48" s="40">
        <f>'[2]Evalutaion 23'!G27</f>
        <v>3.5</v>
      </c>
      <c r="I48" s="40">
        <f>'[2]Evalutaion 23'!H27</f>
        <v>3.7</v>
      </c>
      <c r="J48" s="40">
        <f t="shared" si="0"/>
        <v>3.6</v>
      </c>
      <c r="K48" s="40">
        <f>'[2]Evalutaion 24'!G32</f>
        <v>3.9</v>
      </c>
      <c r="L48" s="40">
        <f>'[2]Evalutaion 24'!H32</f>
        <v>3.3</v>
      </c>
      <c r="M48" s="40">
        <f t="shared" si="1"/>
        <v>3.5999999999999996</v>
      </c>
      <c r="N48" s="40">
        <f>'[2]Evalution 25'!G38</f>
        <v>3.5</v>
      </c>
      <c r="O48" s="40">
        <f>'[2]Evalution 25'!H38</f>
        <v>3.2</v>
      </c>
      <c r="P48" s="40">
        <f t="shared" si="2"/>
        <v>3.35</v>
      </c>
      <c r="Q48" s="43">
        <f t="shared" si="6"/>
        <v>2.6374999999999997</v>
      </c>
      <c r="R48" s="43" t="str">
        <f t="shared" si="3"/>
        <v>Average</v>
      </c>
      <c r="S48" s="44" t="str">
        <f>IFERROR( _xlfn.XLOOKUP(Q48,[2]Result!$A$7:$A$15,[2]Result!$C$7:$C$15,"Out of range",-1),"N/A")</f>
        <v>2B</v>
      </c>
      <c r="T48" s="43">
        <f t="shared" si="4"/>
        <v>3.6</v>
      </c>
      <c r="U48" s="25" t="str" cm="1">
        <f t="array" ref="U48">IF(OR(J48="NA",J48="NR",ISBLANK(J48)),J48,IFERROR(INDEX([2]Result!$C$7:$C$15,MATCH(1,(J48&gt;=[2]Result!$A$7:$A$15)*(J48&lt;=[2]Result!$B$7:$B$15),0)), "NA"))</f>
        <v>3A</v>
      </c>
      <c r="V48" s="25">
        <f t="shared" si="5"/>
        <v>3.5999999999999996</v>
      </c>
      <c r="W48" s="25" t="str" cm="1">
        <f t="array" ref="W48">IF(OR(M48="NA",M48="NR",ISBLANK(M48)),M48,IFERROR(INDEX([2]Result!$C$7:$C$15,MATCH(1,(M48&gt;=[2]Result!$A$7:$A$15)*(M48&lt;=[2]Result!$B$7:$B$15),0)), "NA"))</f>
        <v>3A</v>
      </c>
    </row>
    <row r="49" spans="1:23" ht="15.75" x14ac:dyDescent="0.25">
      <c r="A49" s="40">
        <v>38</v>
      </c>
      <c r="B49" s="41">
        <v>50717</v>
      </c>
      <c r="C49" s="40" t="str">
        <f>'[2]Evalution 25'!B39</f>
        <v>Diana Soukar</v>
      </c>
      <c r="D49" s="42">
        <v>45858</v>
      </c>
      <c r="E49" s="40" t="str">
        <f>'[2]Evalution 25'!C39</f>
        <v>Riyadh</v>
      </c>
      <c r="F49" s="40" t="str">
        <f>'[2]Evalution 25'!E39</f>
        <v xml:space="preserve">Audience Strategy Manager </v>
      </c>
      <c r="G49" s="40" t="str">
        <f>'[2]Evalution 25'!D39</f>
        <v>Research</v>
      </c>
      <c r="H49" s="40" t="s">
        <v>554</v>
      </c>
      <c r="I49" s="40" t="s">
        <v>554</v>
      </c>
      <c r="J49" s="40" t="str">
        <f t="shared" si="0"/>
        <v>NA</v>
      </c>
      <c r="K49" s="40" t="s">
        <v>554</v>
      </c>
      <c r="L49" s="40" t="s">
        <v>554</v>
      </c>
      <c r="M49" s="40" t="str">
        <f t="shared" si="1"/>
        <v>NA</v>
      </c>
      <c r="N49" s="40">
        <f>'[2]Evalution 25'!G39</f>
        <v>0</v>
      </c>
      <c r="O49" s="40">
        <f>'[2]Evalution 25'!H39</f>
        <v>4</v>
      </c>
      <c r="P49" s="40">
        <f t="shared" si="2"/>
        <v>2</v>
      </c>
      <c r="Q49" s="43">
        <f t="shared" si="6"/>
        <v>1</v>
      </c>
      <c r="R49" s="43" t="str">
        <f t="shared" si="3"/>
        <v>Poor</v>
      </c>
      <c r="S49" s="45" t="str">
        <f>IFERROR( _xlfn.XLOOKUP(Q49,[2]Result!$A$7:$A$15,[2]Result!$C$7:$C$15,"Out of range",-1),"N/A")</f>
        <v>1A</v>
      </c>
      <c r="T49" s="43" t="str">
        <f t="shared" si="4"/>
        <v>NA</v>
      </c>
      <c r="U49" s="25" t="str" cm="1">
        <f t="array" ref="U49">IF(OR(J49="NA",J49="NR",ISBLANK(J49)),J49,IFERROR(INDEX([2]Result!$C$7:$C$15,MATCH(1,(J49&gt;=[2]Result!$A$7:$A$15)*(J49&lt;=[2]Result!$B$7:$B$15),0)), "NA"))</f>
        <v>NA</v>
      </c>
      <c r="V49" s="25" t="str">
        <f t="shared" si="5"/>
        <v>NA</v>
      </c>
      <c r="W49" s="25" t="str" cm="1">
        <f t="array" ref="W49">IF(OR(M49="NA",M49="NR",ISBLANK(M49)),M49,IFERROR(INDEX([2]Result!$C$7:$C$15,MATCH(1,(M49&gt;=[2]Result!$A$7:$A$15)*(M49&lt;=[2]Result!$B$7:$B$15),0)), "NA"))</f>
        <v>NA</v>
      </c>
    </row>
    <row r="50" spans="1:23" ht="15.75" x14ac:dyDescent="0.25">
      <c r="A50" s="40">
        <v>39</v>
      </c>
      <c r="B50" s="41">
        <v>6659</v>
      </c>
      <c r="C50" s="40" t="str">
        <f>'[2]Evalution 25'!B40</f>
        <v>Dina Anwar</v>
      </c>
      <c r="D50" s="42">
        <v>44829</v>
      </c>
      <c r="E50" s="40" t="str">
        <f>'[2]Evalution 25'!C40</f>
        <v>Cairo</v>
      </c>
      <c r="F50" s="40" t="str">
        <f>'[2]Evalution 25'!E40</f>
        <v>Admin Assistant</v>
      </c>
      <c r="G50" s="40" t="str">
        <f>'[2]Evalution 25'!D40</f>
        <v>Admin</v>
      </c>
      <c r="H50" s="40">
        <f>'[2]Evalutaion 23'!G28</f>
        <v>3</v>
      </c>
      <c r="I50" s="40">
        <f>'[2]Evalutaion 23'!H28</f>
        <v>3</v>
      </c>
      <c r="J50" s="40">
        <f t="shared" si="0"/>
        <v>3</v>
      </c>
      <c r="K50" s="40">
        <f>'[2]Evalutaion 24'!G33</f>
        <v>3.5</v>
      </c>
      <c r="L50" s="40">
        <f>'[2]Evalutaion 24'!H33</f>
        <v>3.3</v>
      </c>
      <c r="M50" s="40">
        <f t="shared" si="1"/>
        <v>3.4</v>
      </c>
      <c r="N50" s="40">
        <f>'[2]Evalution 25'!G40</f>
        <v>3.2</v>
      </c>
      <c r="O50" s="40">
        <f>'[2]Evalution 25'!H40</f>
        <v>3.3</v>
      </c>
      <c r="P50" s="40">
        <f t="shared" si="2"/>
        <v>3.25</v>
      </c>
      <c r="Q50" s="43">
        <f t="shared" si="6"/>
        <v>2.4125000000000001</v>
      </c>
      <c r="R50" s="43" t="str">
        <f t="shared" si="3"/>
        <v>Average</v>
      </c>
      <c r="S50" s="44" t="str">
        <f>IFERROR( _xlfn.XLOOKUP(Q50,[2]Result!$A$7:$A$15,[2]Result!$C$7:$C$15,"Out of range",-1),"N/A")</f>
        <v>2A</v>
      </c>
      <c r="T50" s="43">
        <f t="shared" si="4"/>
        <v>3</v>
      </c>
      <c r="U50" s="25" t="str" cm="1">
        <f t="array" ref="U50">IF(OR(J50="NA",J50="NR",ISBLANK(J50)),J50,IFERROR(INDEX([2]Result!$C$7:$C$15,MATCH(1,(J50&gt;=[2]Result!$A$7:$A$15)*(J50&lt;=[2]Result!$B$7:$B$15),0)), "NA"))</f>
        <v>2B</v>
      </c>
      <c r="V50" s="25">
        <f t="shared" si="5"/>
        <v>3.4</v>
      </c>
      <c r="W50" s="25" t="str" cm="1">
        <f t="array" ref="W50">IF(OR(M50="NA",M50="NR",ISBLANK(M50)),M50,IFERROR(INDEX([2]Result!$C$7:$C$15,MATCH(1,(M50&gt;=[2]Result!$A$7:$A$15)*(M50&lt;=[2]Result!$B$7:$B$15),0)), "NA"))</f>
        <v>2C</v>
      </c>
    </row>
    <row r="51" spans="1:23" ht="15.75" x14ac:dyDescent="0.25">
      <c r="A51" s="40">
        <v>40</v>
      </c>
      <c r="B51" s="41">
        <v>50295</v>
      </c>
      <c r="C51" s="40" t="str">
        <f>'[2]Evalution 25'!B41</f>
        <v>Donna Liza Rabago Aurelio</v>
      </c>
      <c r="D51" s="42">
        <v>45712</v>
      </c>
      <c r="E51" s="40" t="str">
        <f>'[2]Evalution 25'!C41</f>
        <v>Dubai</v>
      </c>
      <c r="F51" s="40" t="str">
        <f>'[2]Evalution 25'!E41</f>
        <v>Traffic Operations</v>
      </c>
      <c r="G51" s="40" t="str">
        <f>'[2]Evalution 25'!D41</f>
        <v>Traffic</v>
      </c>
      <c r="H51" s="40" t="s">
        <v>554</v>
      </c>
      <c r="I51" s="40" t="s">
        <v>554</v>
      </c>
      <c r="J51" s="40" t="str">
        <f t="shared" si="0"/>
        <v>NA</v>
      </c>
      <c r="K51" s="40" t="s">
        <v>554</v>
      </c>
      <c r="L51" s="40" t="s">
        <v>554</v>
      </c>
      <c r="M51" s="40" t="str">
        <f t="shared" si="1"/>
        <v>NA</v>
      </c>
      <c r="N51" s="40">
        <f>'[2]Evalution 25'!G41</f>
        <v>3.6</v>
      </c>
      <c r="O51" s="40">
        <f>'[2]Evalution 25'!H41</f>
        <v>4</v>
      </c>
      <c r="P51" s="40">
        <f t="shared" si="2"/>
        <v>3.8</v>
      </c>
      <c r="Q51" s="43">
        <f t="shared" si="6"/>
        <v>1.9</v>
      </c>
      <c r="R51" s="43" t="str">
        <f t="shared" si="3"/>
        <v>High</v>
      </c>
      <c r="S51" s="45" t="str">
        <f>IFERROR( _xlfn.XLOOKUP(Q51,[2]Result!$A$7:$A$15,[2]Result!$C$7:$C$15,"Out of range",-1),"N/A")</f>
        <v>1C</v>
      </c>
      <c r="T51" s="43" t="str">
        <f t="shared" si="4"/>
        <v>NA</v>
      </c>
      <c r="U51" s="25" t="str" cm="1">
        <f t="array" ref="U51">IF(OR(J51="NA",J51="NR",ISBLANK(J51)),J51,IFERROR(INDEX([2]Result!$C$7:$C$15,MATCH(1,(J51&gt;=[2]Result!$A$7:$A$15)*(J51&lt;=[2]Result!$B$7:$B$15),0)), "NA"))</f>
        <v>NA</v>
      </c>
      <c r="V51" s="25" t="str">
        <f t="shared" si="5"/>
        <v>NA</v>
      </c>
      <c r="W51" s="25" t="str" cm="1">
        <f t="array" ref="W51">IF(OR(M51="NA",M51="NR",ISBLANK(M51)),M51,IFERROR(INDEX([2]Result!$C$7:$C$15,MATCH(1,(M51&gt;=[2]Result!$A$7:$A$15)*(M51&lt;=[2]Result!$B$7:$B$15),0)), "NA"))</f>
        <v>NA</v>
      </c>
    </row>
    <row r="52" spans="1:23" ht="15.75" x14ac:dyDescent="0.25">
      <c r="A52" s="40">
        <v>41</v>
      </c>
      <c r="B52" s="41">
        <v>48804</v>
      </c>
      <c r="C52" s="40" t="str">
        <f>'[2]Evalution 25'!B42</f>
        <v>Elaf Khalid Almane</v>
      </c>
      <c r="D52" s="42">
        <v>45319</v>
      </c>
      <c r="E52" s="40" t="str">
        <f>'[2]Evalution 25'!C42</f>
        <v>Riyadh</v>
      </c>
      <c r="F52" s="40" t="str">
        <f>'[2]Evalution 25'!E42</f>
        <v>Client Growth Senior Executive</v>
      </c>
      <c r="G52" s="40" t="str">
        <f>'[2]Evalution 25'!D42</f>
        <v>Client Growth</v>
      </c>
      <c r="H52" s="40" t="s">
        <v>554</v>
      </c>
      <c r="I52" s="40" t="s">
        <v>554</v>
      </c>
      <c r="J52" s="40" t="str">
        <f t="shared" si="0"/>
        <v>NA</v>
      </c>
      <c r="K52" s="40">
        <f>'[2]Evalutaion 24'!G34</f>
        <v>4.2</v>
      </c>
      <c r="L52" s="40">
        <f>'[2]Evalutaion 24'!H34</f>
        <v>4.2</v>
      </c>
      <c r="M52" s="40">
        <f t="shared" si="1"/>
        <v>4.2</v>
      </c>
      <c r="N52" s="40">
        <f>'[2]Evalution 25'!G42</f>
        <v>4.8</v>
      </c>
      <c r="O52" s="40">
        <f>'[2]Evalution 25'!H42</f>
        <v>4.7</v>
      </c>
      <c r="P52" s="40">
        <f t="shared" si="2"/>
        <v>4.75</v>
      </c>
      <c r="Q52" s="43">
        <f t="shared" si="6"/>
        <v>2.9833333333333329</v>
      </c>
      <c r="R52" s="43" t="str">
        <f t="shared" si="3"/>
        <v>High</v>
      </c>
      <c r="S52" s="44" t="str">
        <f>IFERROR( _xlfn.XLOOKUP(Q52,[2]Result!$A$7:$A$15,[2]Result!$C$7:$C$15,"Out of range",-1),"N/A")</f>
        <v>2B</v>
      </c>
      <c r="T52" s="43" t="str">
        <f t="shared" si="4"/>
        <v>NA</v>
      </c>
      <c r="U52" s="25" t="str" cm="1">
        <f t="array" ref="U52">IF(OR(J52="NA",J52="NR",ISBLANK(J52)),J52,IFERROR(INDEX([2]Result!$C$7:$C$15,MATCH(1,(J52&gt;=[2]Result!$A$7:$A$15)*(J52&lt;=[2]Result!$B$7:$B$15),0)), "NA"))</f>
        <v>NA</v>
      </c>
      <c r="V52" s="25">
        <f t="shared" si="5"/>
        <v>4.2</v>
      </c>
      <c r="W52" s="25" t="str" cm="1">
        <f t="array" ref="W52">IF(OR(M52="NA",M52="NR",ISBLANK(M52)),M52,IFERROR(INDEX([2]Result!$C$7:$C$15,MATCH(1,(M52&gt;=[2]Result!$A$7:$A$15)*(M52&lt;=[2]Result!$B$7:$B$15),0)), "NA"))</f>
        <v>3B</v>
      </c>
    </row>
    <row r="53" spans="1:23" ht="15.75" x14ac:dyDescent="0.25">
      <c r="A53" s="40">
        <v>42</v>
      </c>
      <c r="B53" s="41">
        <v>49495</v>
      </c>
      <c r="C53" s="40" t="str">
        <f>'[2]Evalution 25'!B43</f>
        <v>Elie Tanios Raad</v>
      </c>
      <c r="D53" s="42">
        <v>45558</v>
      </c>
      <c r="E53" s="40" t="str">
        <f>'[2]Evalution 25'!C43</f>
        <v>Dubai</v>
      </c>
      <c r="F53" s="40" t="str">
        <f>'[2]Evalution 25'!E43</f>
        <v>Content Solutions Director</v>
      </c>
      <c r="G53" s="40" t="str">
        <f>'[2]Evalution 25'!D43</f>
        <v>Content Solutions</v>
      </c>
      <c r="H53" s="40" t="s">
        <v>554</v>
      </c>
      <c r="I53" s="40" t="s">
        <v>554</v>
      </c>
      <c r="J53" s="40" t="str">
        <f t="shared" si="0"/>
        <v>NA</v>
      </c>
      <c r="K53" s="40">
        <f>'[2]Evalutaion 24'!G35</f>
        <v>0</v>
      </c>
      <c r="L53" s="40">
        <f>'[2]Evalutaion 24'!H35</f>
        <v>4.3</v>
      </c>
      <c r="M53" s="40">
        <f t="shared" si="1"/>
        <v>2.15</v>
      </c>
      <c r="N53" s="40">
        <f>'[2]Evalution 25'!G43</f>
        <v>3.8</v>
      </c>
      <c r="O53" s="40">
        <f>'[2]Evalution 25'!H43</f>
        <v>3.8</v>
      </c>
      <c r="P53" s="40">
        <f t="shared" si="2"/>
        <v>3.8</v>
      </c>
      <c r="Q53" s="43">
        <f t="shared" si="6"/>
        <v>1.9833333333333332</v>
      </c>
      <c r="R53" s="43" t="str">
        <f t="shared" si="3"/>
        <v>High</v>
      </c>
      <c r="S53" s="45" t="str">
        <f>IFERROR( _xlfn.XLOOKUP(Q53,[2]Result!$A$7:$A$15,[2]Result!$C$7:$C$15,"Out of range",-1),"N/A")</f>
        <v>1C</v>
      </c>
      <c r="T53" s="43" t="str">
        <f t="shared" si="4"/>
        <v>NA</v>
      </c>
      <c r="U53" s="25" t="str" cm="1">
        <f t="array" ref="U53">IF(OR(J53="NA",J53="NR",ISBLANK(J53)),J53,IFERROR(INDEX([2]Result!$C$7:$C$15,MATCH(1,(J53&gt;=[2]Result!$A$7:$A$15)*(J53&lt;=[2]Result!$B$7:$B$15),0)), "NA"))</f>
        <v>NA</v>
      </c>
      <c r="V53" s="25">
        <f t="shared" si="5"/>
        <v>2.15</v>
      </c>
      <c r="W53" s="25" t="str" cm="1">
        <f t="array" ref="W53">IF(OR(M53="NA",M53="NR",ISBLANK(M53)),M53,IFERROR(INDEX([2]Result!$C$7:$C$15,MATCH(1,(M53&gt;=[2]Result!$A$7:$A$15)*(M53&lt;=[2]Result!$B$7:$B$15),0)), "NA"))</f>
        <v>2A</v>
      </c>
    </row>
    <row r="54" spans="1:23" ht="15.75" x14ac:dyDescent="0.25">
      <c r="A54" s="40">
        <v>43</v>
      </c>
      <c r="B54" s="41">
        <v>47687</v>
      </c>
      <c r="C54" s="40" t="str">
        <f>'[2]Evalution 25'!B44</f>
        <v>Elio Souheil Khoury</v>
      </c>
      <c r="D54" s="42">
        <v>45124</v>
      </c>
      <c r="E54" s="40" t="str">
        <f>'[2]Evalution 25'!C44</f>
        <v>Dubai</v>
      </c>
      <c r="F54" s="40" t="str">
        <f>'[2]Evalution 25'!E44</f>
        <v>Self Serve Manager</v>
      </c>
      <c r="G54" s="40" t="str">
        <f>'[2]Evalution 25'!D44</f>
        <v>Client Growth</v>
      </c>
      <c r="H54" s="40">
        <f>'[2]Evalutaion 23'!G29</f>
        <v>0</v>
      </c>
      <c r="I54" s="40">
        <f>'[2]Evalutaion 23'!H29</f>
        <v>3.3</v>
      </c>
      <c r="J54" s="40">
        <f t="shared" si="0"/>
        <v>1.65</v>
      </c>
      <c r="K54" s="40">
        <f>'[2]Evalutaion 24'!G36</f>
        <v>3.6</v>
      </c>
      <c r="L54" s="40">
        <f>'[2]Evalutaion 24'!H36</f>
        <v>3.8</v>
      </c>
      <c r="M54" s="40">
        <f t="shared" si="1"/>
        <v>3.7</v>
      </c>
      <c r="N54" s="40">
        <f>'[2]Evalution 25'!G44</f>
        <v>3.4</v>
      </c>
      <c r="O54" s="40">
        <f>'[2]Evalution 25'!H44</f>
        <v>3.7</v>
      </c>
      <c r="P54" s="40">
        <f t="shared" si="2"/>
        <v>3.55</v>
      </c>
      <c r="Q54" s="43">
        <f t="shared" si="6"/>
        <v>2.2249999999999996</v>
      </c>
      <c r="R54" s="43" t="str">
        <f t="shared" si="3"/>
        <v>Average</v>
      </c>
      <c r="S54" s="45" t="str">
        <f>IFERROR( _xlfn.XLOOKUP(Q54,[2]Result!$A$7:$A$15,[2]Result!$C$7:$C$15,"Out of range",-1),"N/A")</f>
        <v>2A</v>
      </c>
      <c r="T54" s="43">
        <f t="shared" si="4"/>
        <v>1.65</v>
      </c>
      <c r="U54" s="25" t="str" cm="1">
        <f t="array" ref="U54">IF(OR(J54="NA",J54="NR",ISBLANK(J54)),J54,IFERROR(INDEX([2]Result!$C$7:$C$15,MATCH(1,(J54&gt;=[2]Result!$A$7:$A$15)*(J54&lt;=[2]Result!$B$7:$B$15),0)), "NA"))</f>
        <v>1C</v>
      </c>
      <c r="V54" s="25">
        <f t="shared" si="5"/>
        <v>3.7</v>
      </c>
      <c r="W54" s="25" t="str" cm="1">
        <f t="array" ref="W54">IF(OR(M54="NA",M54="NR",ISBLANK(M54)),M54,IFERROR(INDEX([2]Result!$C$7:$C$15,MATCH(1,(M54&gt;=[2]Result!$A$7:$A$15)*(M54&lt;=[2]Result!$B$7:$B$15),0)), "NA"))</f>
        <v>3A</v>
      </c>
    </row>
    <row r="55" spans="1:23" ht="15.75" x14ac:dyDescent="0.25">
      <c r="A55" s="40">
        <v>44</v>
      </c>
      <c r="B55" s="41">
        <v>47515</v>
      </c>
      <c r="C55" s="40" t="str">
        <f>'[2]Evalution 25'!B45</f>
        <v>Eslam Emad Mohamed Ahmed Elfouly</v>
      </c>
      <c r="D55" s="42">
        <v>45013</v>
      </c>
      <c r="E55" s="40" t="str">
        <f>'[2]Evalution 25'!C45</f>
        <v>Cairo</v>
      </c>
      <c r="F55" s="40" t="str">
        <f>'[2]Evalution 25'!E45</f>
        <v>Client Service Senior Supervisor</v>
      </c>
      <c r="G55" s="40" t="str">
        <f>'[2]Evalution 25'!D45</f>
        <v>Agency Partnerships</v>
      </c>
      <c r="H55" s="40">
        <f>'[2]Evalutaion 23'!G30</f>
        <v>4</v>
      </c>
      <c r="I55" s="40">
        <f>'[2]Evalutaion 23'!H30</f>
        <v>3.5</v>
      </c>
      <c r="J55" s="40">
        <f t="shared" si="0"/>
        <v>3.75</v>
      </c>
      <c r="K55" s="40">
        <f>'[2]Evalutaion 24'!G37</f>
        <v>3.3</v>
      </c>
      <c r="L55" s="40">
        <f>'[2]Evalutaion 24'!H37</f>
        <v>3</v>
      </c>
      <c r="M55" s="40">
        <f t="shared" si="1"/>
        <v>3.15</v>
      </c>
      <c r="N55" s="40">
        <f>'[2]Evalution 25'!G45</f>
        <v>3.8</v>
      </c>
      <c r="O55" s="40">
        <f>'[2]Evalution 25'!H45</f>
        <v>3.5</v>
      </c>
      <c r="P55" s="40">
        <f t="shared" si="2"/>
        <v>3.65</v>
      </c>
      <c r="Q55" s="43">
        <f t="shared" si="6"/>
        <v>2.6375000000000002</v>
      </c>
      <c r="R55" s="43" t="str">
        <f t="shared" si="3"/>
        <v>Average</v>
      </c>
      <c r="S55" s="44" t="str">
        <f>IFERROR( _xlfn.XLOOKUP(Q55,[2]Result!$A$7:$A$15,[2]Result!$C$7:$C$15,"Out of range",-1),"N/A")</f>
        <v>2B</v>
      </c>
      <c r="T55" s="43">
        <f t="shared" si="4"/>
        <v>3.75</v>
      </c>
      <c r="U55" s="25" t="str" cm="1">
        <f t="array" ref="U55">IF(OR(J55="NA",J55="NR",ISBLANK(J55)),J55,IFERROR(INDEX([2]Result!$C$7:$C$15,MATCH(1,(J55&gt;=[2]Result!$A$7:$A$15)*(J55&lt;=[2]Result!$B$7:$B$15),0)), "NA"))</f>
        <v>3A</v>
      </c>
      <c r="V55" s="25">
        <f t="shared" si="5"/>
        <v>3.15</v>
      </c>
      <c r="W55" s="25" t="str" cm="1">
        <f t="array" ref="W55">IF(OR(M55="NA",M55="NR",ISBLANK(M55)),M55,IFERROR(INDEX([2]Result!$C$7:$C$15,MATCH(1,(M55&gt;=[2]Result!$A$7:$A$15)*(M55&lt;=[2]Result!$B$7:$B$15),0)), "NA"))</f>
        <v>2C</v>
      </c>
    </row>
    <row r="56" spans="1:23" ht="15.75" x14ac:dyDescent="0.25">
      <c r="A56" s="40">
        <v>45</v>
      </c>
      <c r="B56" s="41">
        <v>47875</v>
      </c>
      <c r="C56" s="40" t="str">
        <f>'[2]Evalution 25'!B46</f>
        <v>Meera Merlyn  D'Souza</v>
      </c>
      <c r="D56" s="42">
        <v>45139</v>
      </c>
      <c r="E56" s="40" t="str">
        <f>'[2]Evalution 25'!C46</f>
        <v>Dubai</v>
      </c>
      <c r="F56" s="40" t="str">
        <f>'[2]Evalution 25'!E46</f>
        <v>Senior Accountant-MMS</v>
      </c>
      <c r="G56" s="40" t="str">
        <f>'[2]Evalution 25'!D46</f>
        <v>Finance</v>
      </c>
      <c r="H56" s="40">
        <f>'[2]Evalutaion 23'!G31</f>
        <v>0</v>
      </c>
      <c r="I56" s="40">
        <f>'[2]Evalutaion 23'!H31</f>
        <v>3</v>
      </c>
      <c r="J56" s="40">
        <f t="shared" si="0"/>
        <v>1.5</v>
      </c>
      <c r="K56" s="40">
        <f>'[2]Evalutaion 24'!G38</f>
        <v>3.2</v>
      </c>
      <c r="L56" s="40">
        <f>'[2]Evalutaion 24'!H38</f>
        <v>3.2</v>
      </c>
      <c r="M56" s="40">
        <f t="shared" si="1"/>
        <v>3.2</v>
      </c>
      <c r="N56" s="40">
        <f>'[2]Evalution 25'!G46</f>
        <v>4.5</v>
      </c>
      <c r="O56" s="40">
        <f>'[2]Evalution 25'!H46</f>
        <v>4.8</v>
      </c>
      <c r="P56" s="40">
        <f t="shared" si="2"/>
        <v>4.6500000000000004</v>
      </c>
      <c r="Q56" s="43">
        <f t="shared" si="6"/>
        <v>2.3375000000000004</v>
      </c>
      <c r="R56" s="43" t="str">
        <f t="shared" si="3"/>
        <v>High</v>
      </c>
      <c r="S56" s="48" t="str">
        <f>IFERROR( _xlfn.XLOOKUP(Q56,[2]Result!$A$7:$A$15,[2]Result!$C$7:$C$15,"Out of range",-1),"N/A")</f>
        <v>2A</v>
      </c>
      <c r="T56" s="43">
        <f t="shared" si="4"/>
        <v>1.5</v>
      </c>
      <c r="U56" s="25" t="str" cm="1">
        <f t="array" ref="U56">IF(OR(J56="NA",J56="NR",ISBLANK(J56)),J56,IFERROR(INDEX([2]Result!$C$7:$C$15,MATCH(1,(J56&gt;=[2]Result!$A$7:$A$15)*(J56&lt;=[2]Result!$B$7:$B$15),0)), "NA"))</f>
        <v>1B</v>
      </c>
      <c r="V56" s="25">
        <f t="shared" si="5"/>
        <v>3.2</v>
      </c>
      <c r="W56" s="25" t="str" cm="1">
        <f t="array" ref="W56">IF(OR(M56="NA",M56="NR",ISBLANK(M56)),M56,IFERROR(INDEX([2]Result!$C$7:$C$15,MATCH(1,(M56&gt;=[2]Result!$A$7:$A$15)*(M56&lt;=[2]Result!$B$7:$B$15),0)), "NA"))</f>
        <v>2C</v>
      </c>
    </row>
    <row r="57" spans="1:23" ht="15.75" x14ac:dyDescent="0.25">
      <c r="A57" s="40">
        <v>46</v>
      </c>
      <c r="B57" s="41">
        <v>49925</v>
      </c>
      <c r="C57" s="40" t="str">
        <f>'[2]Evalution 25'!B47</f>
        <v>Fadwa Mahmoud Abdelsamad abdelgelel</v>
      </c>
      <c r="D57" s="42">
        <v>45597</v>
      </c>
      <c r="E57" s="40" t="str">
        <f>'[2]Evalution 25'!C47</f>
        <v>Cairo</v>
      </c>
      <c r="F57" s="40" t="str">
        <f>'[2]Evalution 25'!E47</f>
        <v>Client Service Executive</v>
      </c>
      <c r="G57" s="40" t="str">
        <f>'[2]Evalution 25'!D47</f>
        <v>Agency Partnerships</v>
      </c>
      <c r="H57" s="40" t="s">
        <v>554</v>
      </c>
      <c r="I57" s="40" t="s">
        <v>554</v>
      </c>
      <c r="J57" s="40" t="str">
        <f t="shared" si="0"/>
        <v>NA</v>
      </c>
      <c r="K57" s="40" t="s">
        <v>554</v>
      </c>
      <c r="L57" s="40" t="s">
        <v>554</v>
      </c>
      <c r="M57" s="40" t="str">
        <f t="shared" si="1"/>
        <v>NR</v>
      </c>
      <c r="N57" s="40">
        <f>'[2]Evalution 25'!G47</f>
        <v>4.3</v>
      </c>
      <c r="O57" s="40">
        <f>'[2]Evalution 25'!H47</f>
        <v>4</v>
      </c>
      <c r="P57" s="40">
        <f t="shared" si="2"/>
        <v>4.1500000000000004</v>
      </c>
      <c r="Q57" s="43">
        <f t="shared" si="6"/>
        <v>2.0750000000000002</v>
      </c>
      <c r="R57" s="43" t="str">
        <f t="shared" si="3"/>
        <v>High</v>
      </c>
      <c r="S57" s="44" t="str">
        <f>IFERROR( _xlfn.XLOOKUP(Q57,[2]Result!$A$7:$A$15,[2]Result!$C$7:$C$15,"Out of range",-1),"N/A")</f>
        <v>1C</v>
      </c>
      <c r="T57" s="43" t="str">
        <f t="shared" si="4"/>
        <v>NA</v>
      </c>
      <c r="U57" s="25" t="str" cm="1">
        <f t="array" ref="U57">IF(OR(J57="NA",J57="NR",ISBLANK(J57)),J57,IFERROR(INDEX([2]Result!$C$7:$C$15,MATCH(1,(J57&gt;=[2]Result!$A$7:$A$15)*(J57&lt;=[2]Result!$B$7:$B$15),0)), "NA"))</f>
        <v>NA</v>
      </c>
      <c r="V57" s="25" t="str">
        <f t="shared" si="5"/>
        <v>NR</v>
      </c>
      <c r="W57" s="25" t="str" cm="1">
        <f t="array" ref="W57">IF(OR(M57="NA",M57="NR",ISBLANK(M57)),M57,IFERROR(INDEX([2]Result!$C$7:$C$15,MATCH(1,(M57&gt;=[2]Result!$A$7:$A$15)*(M57&lt;=[2]Result!$B$7:$B$15),0)), "NA"))</f>
        <v>NR</v>
      </c>
    </row>
    <row r="58" spans="1:23" ht="15.75" x14ac:dyDescent="0.25">
      <c r="A58" s="40">
        <v>47</v>
      </c>
      <c r="B58" s="41">
        <v>31252</v>
      </c>
      <c r="C58" s="40" t="str">
        <f>'[2]Evalution 25'!B48</f>
        <v>Fahad Ali Saad Aldosaree</v>
      </c>
      <c r="D58" s="42">
        <v>44440</v>
      </c>
      <c r="E58" s="40" t="str">
        <f>'[2]Evalution 25'!C48</f>
        <v>Riyadh</v>
      </c>
      <c r="F58" s="40" t="str">
        <f>'[2]Evalution 25'!E48</f>
        <v>Client Growth Director</v>
      </c>
      <c r="G58" s="40" t="str">
        <f>'[2]Evalution 25'!D48</f>
        <v>Client Growth</v>
      </c>
      <c r="H58" s="40">
        <f>'[2]Evalutaion 23'!G32</f>
        <v>4.5999999999999996</v>
      </c>
      <c r="I58" s="40">
        <f>'[2]Evalutaion 23'!H32</f>
        <v>4</v>
      </c>
      <c r="J58" s="40">
        <f t="shared" si="0"/>
        <v>4.3</v>
      </c>
      <c r="K58" s="40">
        <f>'[2]Evalutaion 24'!G39</f>
        <v>4.5999999999999996</v>
      </c>
      <c r="L58" s="40">
        <f>'[2]Evalutaion 24'!H39</f>
        <v>4.7</v>
      </c>
      <c r="M58" s="40">
        <f t="shared" si="1"/>
        <v>4.6500000000000004</v>
      </c>
      <c r="N58" s="40">
        <f>'[2]Evalution 25'!G48</f>
        <v>0</v>
      </c>
      <c r="O58" s="40">
        <f>'[2]Evalution 25'!H48</f>
        <v>0</v>
      </c>
      <c r="P58" s="40">
        <f t="shared" si="2"/>
        <v>0</v>
      </c>
      <c r="Q58" s="43">
        <f t="shared" si="6"/>
        <v>2.2374999999999998</v>
      </c>
      <c r="R58" s="43" t="str">
        <f t="shared" si="3"/>
        <v>Poor</v>
      </c>
      <c r="S58" s="45" t="str">
        <f>IFERROR( _xlfn.XLOOKUP(Q58,[2]Result!$A$7:$A$15,[2]Result!$C$7:$C$15,"Out of range",-1),"N/A")</f>
        <v>2A</v>
      </c>
      <c r="T58" s="43">
        <f t="shared" si="4"/>
        <v>4.3</v>
      </c>
      <c r="U58" s="25" t="str" cm="1">
        <f t="array" ref="U58">IF(OR(J58="NA",J58="NR",ISBLANK(J58)),J58,IFERROR(INDEX([2]Result!$C$7:$C$15,MATCH(1,(J58&gt;=[2]Result!$A$7:$A$15)*(J58&lt;=[2]Result!$B$7:$B$15),0)), "NA"))</f>
        <v>3B</v>
      </c>
      <c r="V58" s="25">
        <f t="shared" si="5"/>
        <v>4.6500000000000004</v>
      </c>
      <c r="W58" s="25" t="str" cm="1">
        <f t="array" ref="W58">IF(OR(M58="NA",M58="NR",ISBLANK(M58)),M58,IFERROR(INDEX([2]Result!$C$7:$C$15,MATCH(1,(M58&gt;=[2]Result!$A$7:$A$15)*(M58&lt;=[2]Result!$B$7:$B$15),0)), "NA"))</f>
        <v>3C</v>
      </c>
    </row>
    <row r="59" spans="1:23" ht="15.75" x14ac:dyDescent="0.25">
      <c r="A59" s="40">
        <v>48</v>
      </c>
      <c r="B59" s="41">
        <v>31253</v>
      </c>
      <c r="C59" s="40" t="str">
        <f>'[2]Evalution 25'!B49</f>
        <v>Faisal Hamdan Shreda Alanazi</v>
      </c>
      <c r="D59" s="42">
        <v>44444</v>
      </c>
      <c r="E59" s="40" t="str">
        <f>'[2]Evalution 25'!C49</f>
        <v>Riyadh</v>
      </c>
      <c r="F59" s="40" t="str">
        <f>'[2]Evalution 25'!E49</f>
        <v>Client Growth Senior Executive</v>
      </c>
      <c r="G59" s="40" t="str">
        <f>'[2]Evalution 25'!D49</f>
        <v>Client Growth</v>
      </c>
      <c r="H59" s="40">
        <f>'[2]Evalutaion 23'!G33</f>
        <v>4.2</v>
      </c>
      <c r="I59" s="40">
        <f>'[2]Evalutaion 23'!H33</f>
        <v>4.5</v>
      </c>
      <c r="J59" s="40">
        <f t="shared" si="0"/>
        <v>4.3499999999999996</v>
      </c>
      <c r="K59" s="40">
        <f>'[2]Evalutaion 24'!G40</f>
        <v>5</v>
      </c>
      <c r="L59" s="40">
        <f>'[2]Evalutaion 24'!H40</f>
        <v>5</v>
      </c>
      <c r="M59" s="40">
        <f t="shared" si="1"/>
        <v>5</v>
      </c>
      <c r="N59" s="40">
        <f>'[2]Evalution 25'!G49</f>
        <v>4.9000000000000004</v>
      </c>
      <c r="O59" s="40">
        <f>'[2]Evalution 25'!H49</f>
        <v>4.5</v>
      </c>
      <c r="P59" s="40">
        <f t="shared" si="2"/>
        <v>4.7</v>
      </c>
      <c r="Q59" s="43">
        <f t="shared" si="6"/>
        <v>3.5125000000000002</v>
      </c>
      <c r="R59" s="43" t="str">
        <f t="shared" si="3"/>
        <v>High</v>
      </c>
      <c r="S59" s="46" t="str">
        <f>IFERROR( _xlfn.XLOOKUP(Q59,[2]Result!$A$7:$A$15,[2]Result!$C$7:$C$15,"Out of range",-1),"N/A")</f>
        <v>2C</v>
      </c>
      <c r="T59" s="43">
        <f t="shared" si="4"/>
        <v>4.3499999999999996</v>
      </c>
      <c r="U59" s="25" t="str" cm="1">
        <f t="array" ref="U59">IF(OR(J59="NA",J59="NR",ISBLANK(J59)),J59,IFERROR(INDEX([2]Result!$C$7:$C$15,MATCH(1,(J59&gt;=[2]Result!$A$7:$A$15)*(J59&lt;=[2]Result!$B$7:$B$15),0)), "NA"))</f>
        <v>3B</v>
      </c>
      <c r="V59" s="25">
        <f t="shared" si="5"/>
        <v>5</v>
      </c>
      <c r="W59" s="25" t="str" cm="1">
        <f t="array" ref="W59">IF(OR(M59="NA",M59="NR",ISBLANK(M59)),M59,IFERROR(INDEX([2]Result!$C$7:$C$15,MATCH(1,(M59&gt;=[2]Result!$A$7:$A$15)*(M59&lt;=[2]Result!$B$7:$B$15),0)), "NA"))</f>
        <v>3C</v>
      </c>
    </row>
    <row r="60" spans="1:23" ht="15.75" x14ac:dyDescent="0.25">
      <c r="A60" s="40">
        <v>49</v>
      </c>
      <c r="B60" s="41">
        <v>48344</v>
      </c>
      <c r="C60" s="40" t="str">
        <f>'[2]Evalution 25'!B50</f>
        <v>Melody Noblejas</v>
      </c>
      <c r="D60" s="42">
        <v>45239</v>
      </c>
      <c r="E60" s="40" t="str">
        <f>'[2]Evalution 25'!C50</f>
        <v>Dubai</v>
      </c>
      <c r="F60" s="40" t="str">
        <f>'[2]Evalution 25'!E50</f>
        <v>Finance Supervisor-MMS</v>
      </c>
      <c r="G60" s="40" t="str">
        <f>'[2]Evalution 25'!D50</f>
        <v>Finance</v>
      </c>
      <c r="H60" s="40" t="s">
        <v>554</v>
      </c>
      <c r="I60" s="40" t="s">
        <v>554</v>
      </c>
      <c r="J60" s="40" t="str">
        <f t="shared" si="0"/>
        <v>NR</v>
      </c>
      <c r="K60" s="40">
        <f>'[2]Evalutaion 24'!G41</f>
        <v>3.3</v>
      </c>
      <c r="L60" s="40">
        <f>'[2]Evalutaion 24'!H41</f>
        <v>3.5</v>
      </c>
      <c r="M60" s="40">
        <f t="shared" si="1"/>
        <v>3.4</v>
      </c>
      <c r="N60" s="40">
        <f>'[2]Evalution 25'!G50</f>
        <v>4.3</v>
      </c>
      <c r="O60" s="40">
        <f>'[2]Evalution 25'!H50</f>
        <v>5</v>
      </c>
      <c r="P60" s="40">
        <f t="shared" si="2"/>
        <v>4.6500000000000004</v>
      </c>
      <c r="Q60" s="43">
        <f t="shared" si="6"/>
        <v>2.6833333333333336</v>
      </c>
      <c r="R60" s="43" t="str">
        <f t="shared" si="3"/>
        <v>High</v>
      </c>
      <c r="S60" s="44" t="str">
        <f>IFERROR( _xlfn.XLOOKUP(Q60,[2]Result!$A$7:$A$15,[2]Result!$C$7:$C$15,"Out of range",-1),"N/A")</f>
        <v>2B</v>
      </c>
      <c r="T60" s="43" t="str">
        <f t="shared" si="4"/>
        <v>NR</v>
      </c>
      <c r="U60" s="25" t="str" cm="1">
        <f t="array" ref="U60">IF(OR(J60="NA",J60="NR",ISBLANK(J60)),J60,IFERROR(INDEX([2]Result!$C$7:$C$15,MATCH(1,(J60&gt;=[2]Result!$A$7:$A$15)*(J60&lt;=[2]Result!$B$7:$B$15),0)), "NA"))</f>
        <v>NR</v>
      </c>
      <c r="V60" s="25">
        <f t="shared" si="5"/>
        <v>3.4</v>
      </c>
      <c r="W60" s="25" t="str" cm="1">
        <f t="array" ref="W60">IF(OR(M60="NA",M60="NR",ISBLANK(M60)),M60,IFERROR(INDEX([2]Result!$C$7:$C$15,MATCH(1,(M60&gt;=[2]Result!$A$7:$A$15)*(M60&lt;=[2]Result!$B$7:$B$15),0)), "NA"))</f>
        <v>2C</v>
      </c>
    </row>
    <row r="61" spans="1:23" ht="15.75" x14ac:dyDescent="0.25">
      <c r="A61" s="40">
        <v>50</v>
      </c>
      <c r="B61" s="41">
        <v>48090</v>
      </c>
      <c r="C61" s="40" t="str">
        <f>'[2]Evalution 25'!B51</f>
        <v>Fatema karim Ashraf Ali Mahgoub</v>
      </c>
      <c r="D61" s="42">
        <v>45186</v>
      </c>
      <c r="E61" s="40" t="str">
        <f>'[2]Evalution 25'!C51</f>
        <v>Cairo</v>
      </c>
      <c r="F61" s="40" t="str">
        <f>'[2]Evalution 25'!E51</f>
        <v>Client Service Executive</v>
      </c>
      <c r="G61" s="40" t="str">
        <f>'[2]Evalution 25'!D51</f>
        <v>Agency Partnerships</v>
      </c>
      <c r="H61" s="40">
        <f>'[2]Evalutaion 23'!G34</f>
        <v>3</v>
      </c>
      <c r="I61" s="40">
        <f>'[2]Evalutaion 23'!H34</f>
        <v>3</v>
      </c>
      <c r="J61" s="40">
        <f t="shared" si="0"/>
        <v>3</v>
      </c>
      <c r="K61" s="40">
        <f>'[2]Evalutaion 24'!G42</f>
        <v>3.2</v>
      </c>
      <c r="L61" s="40">
        <f>'[2]Evalutaion 24'!H42</f>
        <v>3.8</v>
      </c>
      <c r="M61" s="40">
        <f t="shared" si="1"/>
        <v>3.5</v>
      </c>
      <c r="N61" s="40">
        <f>'[2]Evalution 25'!G51</f>
        <v>3.8</v>
      </c>
      <c r="O61" s="40">
        <f>'[2]Evalution 25'!H51</f>
        <v>4.2</v>
      </c>
      <c r="P61" s="40">
        <f t="shared" si="2"/>
        <v>4</v>
      </c>
      <c r="Q61" s="43">
        <f t="shared" si="6"/>
        <v>2.625</v>
      </c>
      <c r="R61" s="43" t="str">
        <f t="shared" si="3"/>
        <v>High</v>
      </c>
      <c r="S61" s="44" t="str">
        <f>IFERROR( _xlfn.XLOOKUP(Q61,[2]Result!$A$7:$A$15,[2]Result!$C$7:$C$15,"Out of range",-1),"N/A")</f>
        <v>2B</v>
      </c>
      <c r="T61" s="43">
        <f t="shared" si="4"/>
        <v>3</v>
      </c>
      <c r="U61" s="25" t="str" cm="1">
        <f t="array" ref="U61">IF(OR(J61="NA",J61="NR",ISBLANK(J61)),J61,IFERROR(INDEX([2]Result!$C$7:$C$15,MATCH(1,(J61&gt;=[2]Result!$A$7:$A$15)*(J61&lt;=[2]Result!$B$7:$B$15),0)), "NA"))</f>
        <v>2B</v>
      </c>
      <c r="V61" s="25">
        <f t="shared" si="5"/>
        <v>3.5</v>
      </c>
      <c r="W61" s="25" t="str" cm="1">
        <f t="array" ref="W61">IF(OR(M61="NA",M61="NR",ISBLANK(M61)),M61,IFERROR(INDEX([2]Result!$C$7:$C$15,MATCH(1,(M61&gt;=[2]Result!$A$7:$A$15)*(M61&lt;=[2]Result!$B$7:$B$15),0)), "NA"))</f>
        <v>2C</v>
      </c>
    </row>
    <row r="62" spans="1:23" ht="15.75" x14ac:dyDescent="0.25">
      <c r="A62" s="40">
        <v>51</v>
      </c>
      <c r="B62" s="41">
        <v>6606</v>
      </c>
      <c r="C62" s="40" t="str">
        <f>'[2]Evalution 25'!B52</f>
        <v>Fathy Salaheldin Nasr khedr</v>
      </c>
      <c r="D62" s="42">
        <v>44451</v>
      </c>
      <c r="E62" s="40" t="str">
        <f>'[2]Evalution 25'!C52</f>
        <v>Cairo</v>
      </c>
      <c r="F62" s="40" t="str">
        <f>'[2]Evalution 25'!E52</f>
        <v>Office Boy</v>
      </c>
      <c r="G62" s="40" t="str">
        <f>'[2]Evalution 25'!D52</f>
        <v>Admin</v>
      </c>
      <c r="H62" s="40">
        <f>'[2]Evalutaion 23'!G35</f>
        <v>3</v>
      </c>
      <c r="I62" s="40">
        <f>'[2]Evalutaion 23'!H35</f>
        <v>3</v>
      </c>
      <c r="J62" s="40">
        <f t="shared" si="0"/>
        <v>3</v>
      </c>
      <c r="K62" s="40">
        <f>'[2]Evalutaion 24'!G43</f>
        <v>3</v>
      </c>
      <c r="L62" s="40">
        <f>'[2]Evalutaion 24'!H43</f>
        <v>3</v>
      </c>
      <c r="M62" s="40">
        <f t="shared" si="1"/>
        <v>3</v>
      </c>
      <c r="N62" s="40">
        <f>'[2]Evalution 25'!G52</f>
        <v>3.3</v>
      </c>
      <c r="O62" s="40">
        <f>'[2]Evalution 25'!H52</f>
        <v>3</v>
      </c>
      <c r="P62" s="40">
        <f t="shared" si="2"/>
        <v>3.15</v>
      </c>
      <c r="Q62" s="43">
        <f t="shared" si="6"/>
        <v>2.2875000000000001</v>
      </c>
      <c r="R62" s="43" t="str">
        <f t="shared" si="3"/>
        <v>Average</v>
      </c>
      <c r="S62" s="45" t="str">
        <f>IFERROR( _xlfn.XLOOKUP(Q62,[2]Result!$A$7:$A$15,[2]Result!$C$7:$C$15,"Out of range",-1),"N/A")</f>
        <v>2A</v>
      </c>
      <c r="T62" s="43">
        <f t="shared" si="4"/>
        <v>3</v>
      </c>
      <c r="U62" s="25" t="str" cm="1">
        <f t="array" ref="U62">IF(OR(J62="NA",J62="NR",ISBLANK(J62)),J62,IFERROR(INDEX([2]Result!$C$7:$C$15,MATCH(1,(J62&gt;=[2]Result!$A$7:$A$15)*(J62&lt;=[2]Result!$B$7:$B$15),0)), "NA"))</f>
        <v>2B</v>
      </c>
      <c r="V62" s="25">
        <f t="shared" si="5"/>
        <v>3</v>
      </c>
      <c r="W62" s="25" t="str" cm="1">
        <f t="array" ref="W62">IF(OR(M62="NA",M62="NR",ISBLANK(M62)),M62,IFERROR(INDEX([2]Result!$C$7:$C$15,MATCH(1,(M62&gt;=[2]Result!$A$7:$A$15)*(M62&lt;=[2]Result!$B$7:$B$15),0)), "NA"))</f>
        <v>2B</v>
      </c>
    </row>
    <row r="63" spans="1:23" ht="15.75" x14ac:dyDescent="0.25">
      <c r="A63" s="40">
        <v>52</v>
      </c>
      <c r="B63" s="41">
        <v>49191</v>
      </c>
      <c r="C63" s="40" t="str">
        <f>'[2]Evalution 25'!B53</f>
        <v>Fatima Salem Aljabri</v>
      </c>
      <c r="D63" s="42">
        <v>45410</v>
      </c>
      <c r="E63" s="40" t="str">
        <f>'[2]Evalution 25'!C53</f>
        <v>Riyadh</v>
      </c>
      <c r="F63" s="40" t="str">
        <f>'[2]Evalution 25'!E53</f>
        <v>Marketing and PR Senior Executive</v>
      </c>
      <c r="G63" s="40" t="str">
        <f>'[2]Evalution 25'!D53</f>
        <v>Marketing</v>
      </c>
      <c r="H63" s="40" t="s">
        <v>554</v>
      </c>
      <c r="I63" s="40" t="s">
        <v>554</v>
      </c>
      <c r="J63" s="40" t="str">
        <f t="shared" si="0"/>
        <v>NA</v>
      </c>
      <c r="K63" s="40">
        <f>'[2]Evalutaion 24'!G44</f>
        <v>3.3</v>
      </c>
      <c r="L63" s="40">
        <f>'[2]Evalutaion 24'!H44</f>
        <v>3</v>
      </c>
      <c r="M63" s="40">
        <f t="shared" si="1"/>
        <v>3.15</v>
      </c>
      <c r="N63" s="40">
        <f>'[2]Evalution 25'!G53</f>
        <v>5</v>
      </c>
      <c r="O63" s="40">
        <f>'[2]Evalution 25'!H53</f>
        <v>4.3</v>
      </c>
      <c r="P63" s="40">
        <f t="shared" si="2"/>
        <v>4.6500000000000004</v>
      </c>
      <c r="Q63" s="43">
        <f t="shared" si="6"/>
        <v>2.6</v>
      </c>
      <c r="R63" s="43" t="str">
        <f t="shared" si="3"/>
        <v>High</v>
      </c>
      <c r="S63" s="45" t="str">
        <f>IFERROR( _xlfn.XLOOKUP(Q63,[2]Result!$A$7:$A$15,[2]Result!$C$7:$C$15,"Out of range",-1),"N/A")</f>
        <v>2B</v>
      </c>
      <c r="T63" s="43" t="str">
        <f t="shared" si="4"/>
        <v>NA</v>
      </c>
      <c r="U63" s="25" t="str" cm="1">
        <f t="array" ref="U63">IF(OR(J63="NA",J63="NR",ISBLANK(J63)),J63,IFERROR(INDEX([2]Result!$C$7:$C$15,MATCH(1,(J63&gt;=[2]Result!$A$7:$A$15)*(J63&lt;=[2]Result!$B$7:$B$15),0)), "NA"))</f>
        <v>NA</v>
      </c>
      <c r="V63" s="25">
        <f t="shared" si="5"/>
        <v>3.15</v>
      </c>
      <c r="W63" s="25" t="str" cm="1">
        <f t="array" ref="W63">IF(OR(M63="NA",M63="NR",ISBLANK(M63)),M63,IFERROR(INDEX([2]Result!$C$7:$C$15,MATCH(1,(M63&gt;=[2]Result!$A$7:$A$15)*(M63&lt;=[2]Result!$B$7:$B$15),0)), "NA"))</f>
        <v>2C</v>
      </c>
    </row>
    <row r="64" spans="1:23" ht="15.75" x14ac:dyDescent="0.25">
      <c r="A64" s="40">
        <v>53</v>
      </c>
      <c r="B64" s="41">
        <v>10318</v>
      </c>
      <c r="C64" s="40" t="str">
        <f>'[2]Evalution 25'!B54</f>
        <v xml:space="preserve">Febina  Badarudheen </v>
      </c>
      <c r="D64" s="42">
        <v>44188</v>
      </c>
      <c r="E64" s="40" t="str">
        <f>'[2]Evalution 25'!C54</f>
        <v>Dubai</v>
      </c>
      <c r="F64" s="40" t="str">
        <f>'[2]Evalution 25'!E54</f>
        <v>Senior Traffic Executive</v>
      </c>
      <c r="G64" s="40" t="str">
        <f>'[2]Evalution 25'!D54</f>
        <v>Traffic</v>
      </c>
      <c r="H64" s="40">
        <f>'[2]Evalutaion 23'!G36</f>
        <v>3.6</v>
      </c>
      <c r="I64" s="40">
        <f>'[2]Evalutaion 23'!H36</f>
        <v>3.8</v>
      </c>
      <c r="J64" s="40">
        <f t="shared" si="0"/>
        <v>3.7</v>
      </c>
      <c r="K64" s="40">
        <f>'[2]Evalutaion 24'!G45</f>
        <v>4</v>
      </c>
      <c r="L64" s="40">
        <f>'[2]Evalutaion 24'!H45</f>
        <v>3.8</v>
      </c>
      <c r="M64" s="40">
        <f t="shared" si="1"/>
        <v>3.9</v>
      </c>
      <c r="N64" s="40">
        <f>'[2]Evalution 25'!G54</f>
        <v>3.6</v>
      </c>
      <c r="O64" s="40">
        <f>'[2]Evalution 25'!H54</f>
        <v>3.7</v>
      </c>
      <c r="P64" s="40">
        <f t="shared" si="2"/>
        <v>3.6500000000000004</v>
      </c>
      <c r="Q64" s="43">
        <f t="shared" si="6"/>
        <v>2.8125</v>
      </c>
      <c r="R64" s="43" t="str">
        <f t="shared" si="3"/>
        <v>Average</v>
      </c>
      <c r="S64" s="45" t="str">
        <f>IFERROR( _xlfn.XLOOKUP(Q64,[2]Result!$A$7:$A$15,[2]Result!$C$7:$C$15,"Out of range",-1),"N/A")</f>
        <v>2B</v>
      </c>
      <c r="T64" s="43">
        <f t="shared" si="4"/>
        <v>3.7</v>
      </c>
      <c r="U64" s="25" t="str" cm="1">
        <f t="array" ref="U64">IF(OR(J64="NA",J64="NR",ISBLANK(J64)),J64,IFERROR(INDEX([2]Result!$C$7:$C$15,MATCH(1,(J64&gt;=[2]Result!$A$7:$A$15)*(J64&lt;=[2]Result!$B$7:$B$15),0)), "NA"))</f>
        <v>3A</v>
      </c>
      <c r="V64" s="25">
        <f t="shared" si="5"/>
        <v>3.9</v>
      </c>
      <c r="W64" s="25" t="str" cm="1">
        <f t="array" ref="W64">IF(OR(M64="NA",M64="NR",ISBLANK(M64)),M64,IFERROR(INDEX([2]Result!$C$7:$C$15,MATCH(1,(M64&gt;=[2]Result!$A$7:$A$15)*(M64&lt;=[2]Result!$B$7:$B$15),0)), "NA"))</f>
        <v>3A</v>
      </c>
    </row>
    <row r="65" spans="1:23" ht="15.75" x14ac:dyDescent="0.25">
      <c r="A65" s="40">
        <v>54</v>
      </c>
      <c r="B65" s="41">
        <v>31251</v>
      </c>
      <c r="C65" s="40" t="str">
        <f>'[2]Evalution 25'!B55</f>
        <v>Firas Said Bou Antoun</v>
      </c>
      <c r="D65" s="42">
        <v>44411</v>
      </c>
      <c r="E65" s="40" t="str">
        <f>'[2]Evalution 25'!C55</f>
        <v>Riyadh</v>
      </c>
      <c r="F65" s="40" t="str">
        <f>'[2]Evalution 25'!E55</f>
        <v>Client Growth Manager</v>
      </c>
      <c r="G65" s="40" t="str">
        <f>'[2]Evalution 25'!D55</f>
        <v>Client Growth</v>
      </c>
      <c r="H65" s="40">
        <f>'[2]Evalutaion 23'!G37</f>
        <v>3.7</v>
      </c>
      <c r="I65" s="40">
        <f>'[2]Evalutaion 23'!H37</f>
        <v>4</v>
      </c>
      <c r="J65" s="40">
        <f t="shared" si="0"/>
        <v>3.85</v>
      </c>
      <c r="K65" s="40">
        <f>'[2]Evalutaion 24'!G46</f>
        <v>3.7</v>
      </c>
      <c r="L65" s="40">
        <f>'[2]Evalutaion 24'!H46</f>
        <v>3.8</v>
      </c>
      <c r="M65" s="40">
        <f t="shared" si="1"/>
        <v>3.75</v>
      </c>
      <c r="N65" s="40">
        <f>'[2]Evalution 25'!G55</f>
        <v>4.0999999999999996</v>
      </c>
      <c r="O65" s="40">
        <f>'[2]Evalution 25'!H55</f>
        <v>4.3</v>
      </c>
      <c r="P65" s="40">
        <f t="shared" si="2"/>
        <v>4.1999999999999993</v>
      </c>
      <c r="Q65" s="43">
        <f t="shared" si="6"/>
        <v>2.9499999999999997</v>
      </c>
      <c r="R65" s="43" t="str">
        <f t="shared" si="3"/>
        <v>High</v>
      </c>
      <c r="S65" s="45" t="str">
        <f>IFERROR( _xlfn.XLOOKUP(Q65,[2]Result!$A$7:$A$15,[2]Result!$C$7:$C$15,"Out of range",-1),"N/A")</f>
        <v>2B</v>
      </c>
      <c r="T65" s="43">
        <f t="shared" si="4"/>
        <v>3.85</v>
      </c>
      <c r="U65" s="25" t="str" cm="1">
        <f t="array" ref="U65">IF(OR(J65="NA",J65="NR",ISBLANK(J65)),J65,IFERROR(INDEX([2]Result!$C$7:$C$15,MATCH(1,(J65&gt;=[2]Result!$A$7:$A$15)*(J65&lt;=[2]Result!$B$7:$B$15),0)), "NA"))</f>
        <v>3A</v>
      </c>
      <c r="V65" s="25">
        <f t="shared" si="5"/>
        <v>3.75</v>
      </c>
      <c r="W65" s="25" t="str" cm="1">
        <f t="array" ref="W65">IF(OR(M65="NA",M65="NR",ISBLANK(M65)),M65,IFERROR(INDEX([2]Result!$C$7:$C$15,MATCH(1,(M65&gt;=[2]Result!$A$7:$A$15)*(M65&lt;=[2]Result!$B$7:$B$15),0)), "NA"))</f>
        <v>3A</v>
      </c>
    </row>
    <row r="66" spans="1:23" ht="15.75" x14ac:dyDescent="0.25">
      <c r="A66" s="40">
        <v>55</v>
      </c>
      <c r="B66" s="41">
        <v>31291</v>
      </c>
      <c r="C66" s="40" t="str">
        <f>'[2]Evalution 25'!B56</f>
        <v>Fouad Mohammed Debouk</v>
      </c>
      <c r="D66" s="42">
        <v>44197</v>
      </c>
      <c r="E66" s="40" t="str">
        <f>'[2]Evalution 25'!C56</f>
        <v>Riyadh</v>
      </c>
      <c r="F66" s="40" t="str">
        <f>'[2]Evalution 25'!E56</f>
        <v>Audio Growth Senior Manager</v>
      </c>
      <c r="G66" s="40" t="str">
        <f>'[2]Evalution 25'!D56</f>
        <v>Client Growth</v>
      </c>
      <c r="H66" s="40">
        <f>'[2]Evalutaion 23'!G38</f>
        <v>4.4000000000000004</v>
      </c>
      <c r="I66" s="40">
        <f>'[2]Evalutaion 23'!H38</f>
        <v>4</v>
      </c>
      <c r="J66" s="40">
        <f t="shared" si="0"/>
        <v>4.2</v>
      </c>
      <c r="K66" s="40">
        <f>'[2]Evalutaion 24'!G47</f>
        <v>4.5999999999999996</v>
      </c>
      <c r="L66" s="40">
        <f>'[2]Evalutaion 24'!H47</f>
        <v>4.7</v>
      </c>
      <c r="M66" s="40">
        <f t="shared" si="1"/>
        <v>4.6500000000000004</v>
      </c>
      <c r="N66" s="40">
        <f>'[2]Evalution 25'!G56</f>
        <v>4.3</v>
      </c>
      <c r="O66" s="40">
        <f>'[2]Evalution 25'!H56</f>
        <v>3.8</v>
      </c>
      <c r="P66" s="40">
        <f t="shared" si="2"/>
        <v>4.05</v>
      </c>
      <c r="Q66" s="43">
        <f t="shared" si="6"/>
        <v>3.2250000000000005</v>
      </c>
      <c r="R66" s="43" t="str">
        <f t="shared" si="3"/>
        <v>High</v>
      </c>
      <c r="S66" s="45" t="str">
        <f>IFERROR( _xlfn.XLOOKUP(Q66,[2]Result!$A$7:$A$15,[2]Result!$C$7:$C$15,"Out of range",-1),"N/A")</f>
        <v>2C</v>
      </c>
      <c r="T66" s="43">
        <f t="shared" si="4"/>
        <v>4.2</v>
      </c>
      <c r="U66" s="25" t="str" cm="1">
        <f t="array" ref="U66">IF(OR(J66="NA",J66="NR",ISBLANK(J66)),J66,IFERROR(INDEX([2]Result!$C$7:$C$15,MATCH(1,(J66&gt;=[2]Result!$A$7:$A$15)*(J66&lt;=[2]Result!$B$7:$B$15),0)), "NA"))</f>
        <v>3B</v>
      </c>
      <c r="V66" s="25">
        <f t="shared" si="5"/>
        <v>4.6500000000000004</v>
      </c>
      <c r="W66" s="25" t="str" cm="1">
        <f t="array" ref="W66">IF(OR(M66="NA",M66="NR",ISBLANK(M66)),M66,IFERROR(INDEX([2]Result!$C$7:$C$15,MATCH(1,(M66&gt;=[2]Result!$A$7:$A$15)*(M66&lt;=[2]Result!$B$7:$B$15),0)), "NA"))</f>
        <v>3C</v>
      </c>
    </row>
    <row r="67" spans="1:23" ht="15.75" x14ac:dyDescent="0.25">
      <c r="A67" s="40">
        <v>56</v>
      </c>
      <c r="B67" s="41">
        <v>47618</v>
      </c>
      <c r="C67" s="40" t="str">
        <f>'[2]Evalution 25'!B57</f>
        <v>Galaleldin Oraby Ahmed Ghanem</v>
      </c>
      <c r="D67" s="42">
        <v>45047</v>
      </c>
      <c r="E67" s="40" t="str">
        <f>'[2]Evalution 25'!C57</f>
        <v>Cairo</v>
      </c>
      <c r="F67" s="40" t="str">
        <f>'[2]Evalution 25'!E57</f>
        <v>Digital Sales Director</v>
      </c>
      <c r="G67" s="40" t="str">
        <f>'[2]Evalution 25'!D57</f>
        <v>Agency Partnerships</v>
      </c>
      <c r="H67" s="40">
        <f>'[2]Evalutaion 23'!G39</f>
        <v>3.8</v>
      </c>
      <c r="I67" s="40">
        <f>'[2]Evalutaion 23'!H39</f>
        <v>3.8</v>
      </c>
      <c r="J67" s="40">
        <f t="shared" si="0"/>
        <v>3.8</v>
      </c>
      <c r="K67" s="40">
        <f>'[2]Evalutaion 24'!G48</f>
        <v>4</v>
      </c>
      <c r="L67" s="40">
        <f>'[2]Evalutaion 24'!H48</f>
        <v>3.8</v>
      </c>
      <c r="M67" s="40">
        <f t="shared" si="1"/>
        <v>3.9</v>
      </c>
      <c r="N67" s="40">
        <f>'[2]Evalution 25'!G57</f>
        <v>4</v>
      </c>
      <c r="O67" s="40">
        <f>'[2]Evalution 25'!H57</f>
        <v>4</v>
      </c>
      <c r="P67" s="40">
        <f t="shared" si="2"/>
        <v>4</v>
      </c>
      <c r="Q67" s="43">
        <f t="shared" si="6"/>
        <v>2.9249999999999998</v>
      </c>
      <c r="R67" s="43" t="str">
        <f t="shared" si="3"/>
        <v>High</v>
      </c>
      <c r="S67" s="45" t="str">
        <f>IFERROR( _xlfn.XLOOKUP(Q67,[2]Result!$A$7:$A$15,[2]Result!$C$7:$C$15,"Out of range",-1),"N/A")</f>
        <v>2B</v>
      </c>
      <c r="T67" s="43">
        <f t="shared" si="4"/>
        <v>3.8</v>
      </c>
      <c r="U67" s="25" t="str" cm="1">
        <f t="array" ref="U67">IF(OR(J67="NA",J67="NR",ISBLANK(J67)),J67,IFERROR(INDEX([2]Result!$C$7:$C$15,MATCH(1,(J67&gt;=[2]Result!$A$7:$A$15)*(J67&lt;=[2]Result!$B$7:$B$15),0)), "NA"))</f>
        <v>3A</v>
      </c>
      <c r="V67" s="25">
        <f t="shared" si="5"/>
        <v>3.9</v>
      </c>
      <c r="W67" s="25" t="str" cm="1">
        <f t="array" ref="W67">IF(OR(M67="NA",M67="NR",ISBLANK(M67)),M67,IFERROR(INDEX([2]Result!$C$7:$C$15,MATCH(1,(M67&gt;=[2]Result!$A$7:$A$15)*(M67&lt;=[2]Result!$B$7:$B$15),0)), "NA"))</f>
        <v>3A</v>
      </c>
    </row>
    <row r="68" spans="1:23" ht="15.75" x14ac:dyDescent="0.25">
      <c r="A68" s="40">
        <v>57</v>
      </c>
      <c r="B68" s="41">
        <v>10859</v>
      </c>
      <c r="C68" s="40" t="str">
        <f>'[2]Evalution 25'!B58</f>
        <v>Ahmed Mohamed Samir Abdelaziz Alazrak</v>
      </c>
      <c r="D68" s="42">
        <v>44545</v>
      </c>
      <c r="E68" s="40" t="str">
        <f>'[2]Evalution 25'!C58</f>
        <v>Dubai</v>
      </c>
      <c r="F68" s="40" t="str">
        <f>'[2]Evalution 25'!E58</f>
        <v>Treasury Supervisor</v>
      </c>
      <c r="G68" s="40" t="str">
        <f>'[2]Evalution 25'!D58</f>
        <v>Finance</v>
      </c>
      <c r="H68" s="40">
        <f>'[2]Evalutaion 23'!G40</f>
        <v>4.0999999999999996</v>
      </c>
      <c r="I68" s="40">
        <f>'[2]Evalutaion 23'!H40</f>
        <v>3.8</v>
      </c>
      <c r="J68" s="40">
        <f t="shared" si="0"/>
        <v>3.9499999999999997</v>
      </c>
      <c r="K68" s="40">
        <f>'[2]Evalutaion 24'!G49</f>
        <v>4.2</v>
      </c>
      <c r="L68" s="40">
        <f>'[2]Evalutaion 24'!H49</f>
        <v>4</v>
      </c>
      <c r="M68" s="40">
        <f t="shared" si="1"/>
        <v>4.0999999999999996</v>
      </c>
      <c r="N68" s="40">
        <f>'[2]Evalution 25'!G58</f>
        <v>4.9000000000000004</v>
      </c>
      <c r="O68" s="40">
        <f>'[2]Evalution 25'!H58</f>
        <v>4.3</v>
      </c>
      <c r="P68" s="40">
        <f t="shared" si="2"/>
        <v>4.5999999999999996</v>
      </c>
      <c r="Q68" s="43">
        <f t="shared" si="6"/>
        <v>3.1624999999999996</v>
      </c>
      <c r="R68" s="43" t="str">
        <f t="shared" si="3"/>
        <v>High</v>
      </c>
      <c r="S68" s="44" t="str">
        <f>IFERROR( _xlfn.XLOOKUP(Q68,[2]Result!$A$7:$A$15,[2]Result!$C$7:$C$15,"Out of range",-1),"N/A")</f>
        <v>2C</v>
      </c>
      <c r="T68" s="43">
        <f t="shared" si="4"/>
        <v>3.9499999999999997</v>
      </c>
      <c r="U68" s="25" t="str" cm="1">
        <f t="array" ref="U68">IF(OR(J68="NA",J68="NR",ISBLANK(J68)),J68,IFERROR(INDEX([2]Result!$C$7:$C$15,MATCH(1,(J68&gt;=[2]Result!$A$7:$A$15)*(J68&lt;=[2]Result!$B$7:$B$15),0)), "NA"))</f>
        <v>3A</v>
      </c>
      <c r="V68" s="25">
        <f t="shared" si="5"/>
        <v>4.0999999999999996</v>
      </c>
      <c r="W68" s="25" t="str" cm="1">
        <f t="array" ref="W68">IF(OR(M68="NA",M68="NR",ISBLANK(M68)),M68,IFERROR(INDEX([2]Result!$C$7:$C$15,MATCH(1,(M68&gt;=[2]Result!$A$7:$A$15)*(M68&lt;=[2]Result!$B$7:$B$15),0)), "NA"))</f>
        <v>3B</v>
      </c>
    </row>
    <row r="69" spans="1:23" ht="15.75" x14ac:dyDescent="0.25">
      <c r="A69" s="40">
        <v>58</v>
      </c>
      <c r="B69" s="41">
        <v>50495</v>
      </c>
      <c r="C69" s="40" t="str">
        <f>'[2]Evalution 25'!B59</f>
        <v>Ghadeer Youssef Hamed Alharthi</v>
      </c>
      <c r="D69" s="42">
        <v>45781</v>
      </c>
      <c r="E69" s="40" t="str">
        <f>'[2]Evalution 25'!C59</f>
        <v>Riyadh</v>
      </c>
      <c r="F69" s="40" t="str">
        <f>'[2]Evalution 25'!E59</f>
        <v>Admin Assistant-MMS</v>
      </c>
      <c r="G69" s="40" t="str">
        <f>'[2]Evalution 25'!D59</f>
        <v>Admin</v>
      </c>
      <c r="H69" s="40" t="s">
        <v>554</v>
      </c>
      <c r="I69" s="40" t="s">
        <v>554</v>
      </c>
      <c r="J69" s="40" t="str">
        <f t="shared" si="0"/>
        <v>NA</v>
      </c>
      <c r="K69" s="40" t="s">
        <v>554</v>
      </c>
      <c r="L69" s="40" t="s">
        <v>554</v>
      </c>
      <c r="M69" s="40" t="str">
        <f t="shared" si="1"/>
        <v>NA</v>
      </c>
      <c r="N69" s="40">
        <f>'[2]Evalution 25'!G59</f>
        <v>3.3</v>
      </c>
      <c r="O69" s="40">
        <f>'[2]Evalution 25'!H59</f>
        <v>3.5</v>
      </c>
      <c r="P69" s="40">
        <f t="shared" si="2"/>
        <v>3.4</v>
      </c>
      <c r="Q69" s="43">
        <f t="shared" si="6"/>
        <v>1.7</v>
      </c>
      <c r="R69" s="43" t="str">
        <f t="shared" si="3"/>
        <v>Average</v>
      </c>
      <c r="S69" s="44" t="str">
        <f>IFERROR( _xlfn.XLOOKUP(Q69,[2]Result!$A$7:$A$15,[2]Result!$C$7:$C$15,"Out of range",-1),"N/A")</f>
        <v>1C</v>
      </c>
      <c r="T69" s="43" t="str">
        <f t="shared" si="4"/>
        <v>NA</v>
      </c>
      <c r="U69" s="25" t="str" cm="1">
        <f t="array" ref="U69">IF(OR(J69="NA",J69="NR",ISBLANK(J69)),J69,IFERROR(INDEX([2]Result!$C$7:$C$15,MATCH(1,(J69&gt;=[2]Result!$A$7:$A$15)*(J69&lt;=[2]Result!$B$7:$B$15),0)), "NA"))</f>
        <v>NA</v>
      </c>
      <c r="V69" s="25" t="str">
        <f t="shared" si="5"/>
        <v>NA</v>
      </c>
      <c r="W69" s="25" t="str" cm="1">
        <f t="array" ref="W69">IF(OR(M69="NA",M69="NR",ISBLANK(M69)),M69,IFERROR(INDEX([2]Result!$C$7:$C$15,MATCH(1,(M69&gt;=[2]Result!$A$7:$A$15)*(M69&lt;=[2]Result!$B$7:$B$15),0)), "NA"))</f>
        <v>NA</v>
      </c>
    </row>
    <row r="70" spans="1:23" ht="15.75" x14ac:dyDescent="0.25">
      <c r="A70" s="40">
        <v>59</v>
      </c>
      <c r="B70" s="41">
        <v>10825</v>
      </c>
      <c r="C70" s="40" t="str">
        <f>'[2]Evalution 25'!B60</f>
        <v xml:space="preserve">Ghaith Elsayed </v>
      </c>
      <c r="D70" s="42">
        <v>44181</v>
      </c>
      <c r="E70" s="40" t="str">
        <f>'[2]Evalution 25'!C60</f>
        <v>Dubai</v>
      </c>
      <c r="F70" s="40" t="str">
        <f>'[2]Evalution 25'!E60</f>
        <v>Finance Supervisor-MMS</v>
      </c>
      <c r="G70" s="40" t="str">
        <f>'[2]Evalution 25'!D60</f>
        <v>Finance</v>
      </c>
      <c r="H70" s="40">
        <f>'[2]Evalutaion 23'!G41</f>
        <v>0</v>
      </c>
      <c r="I70" s="40">
        <f>'[2]Evalutaion 23'!H41</f>
        <v>3.3</v>
      </c>
      <c r="J70" s="40">
        <f t="shared" si="0"/>
        <v>1.65</v>
      </c>
      <c r="K70" s="40">
        <f>'[2]Evalutaion 24'!G50</f>
        <v>4</v>
      </c>
      <c r="L70" s="40">
        <f>'[2]Evalutaion 24'!H50</f>
        <v>4</v>
      </c>
      <c r="M70" s="40">
        <f t="shared" si="1"/>
        <v>4</v>
      </c>
      <c r="N70" s="40">
        <f>'[2]Evalution 25'!G60</f>
        <v>4</v>
      </c>
      <c r="O70" s="40">
        <f>'[2]Evalution 25'!H60</f>
        <v>4.8</v>
      </c>
      <c r="P70" s="40">
        <f t="shared" si="2"/>
        <v>4.4000000000000004</v>
      </c>
      <c r="Q70" s="43">
        <f t="shared" si="6"/>
        <v>2.5125000000000002</v>
      </c>
      <c r="R70" s="43" t="str">
        <f t="shared" si="3"/>
        <v>High</v>
      </c>
      <c r="S70" s="44" t="str">
        <f>IFERROR( _xlfn.XLOOKUP(Q70,[2]Result!$A$7:$A$15,[2]Result!$C$7:$C$15,"Out of range",-1),"N/A")</f>
        <v>2A</v>
      </c>
      <c r="T70" s="43">
        <f t="shared" si="4"/>
        <v>1.65</v>
      </c>
      <c r="U70" s="25" t="str" cm="1">
        <f t="array" ref="U70">IF(OR(J70="NA",J70="NR",ISBLANK(J70)),J70,IFERROR(INDEX([2]Result!$C$7:$C$15,MATCH(1,(J70&gt;=[2]Result!$A$7:$A$15)*(J70&lt;=[2]Result!$B$7:$B$15),0)), "NA"))</f>
        <v>1C</v>
      </c>
      <c r="V70" s="25">
        <f t="shared" si="5"/>
        <v>4</v>
      </c>
      <c r="W70" s="25" t="str" cm="1">
        <f t="array" ref="W70">IF(OR(M70="NA",M70="NR",ISBLANK(M70)),M70,IFERROR(INDEX([2]Result!$C$7:$C$15,MATCH(1,(M70&gt;=[2]Result!$A$7:$A$15)*(M70&lt;=[2]Result!$B$7:$B$15),0)), "NA"))</f>
        <v>3A</v>
      </c>
    </row>
    <row r="71" spans="1:23" ht="15.75" x14ac:dyDescent="0.25">
      <c r="A71" s="40">
        <v>60</v>
      </c>
      <c r="B71" s="41">
        <v>50029</v>
      </c>
      <c r="C71" s="40" t="str">
        <f>'[2]Evalution 25'!B61</f>
        <v>Ghala Abdulrahman Alotaibi</v>
      </c>
      <c r="D71" s="42">
        <v>45670</v>
      </c>
      <c r="E71" s="40" t="str">
        <f>'[2]Evalution 25'!C61</f>
        <v>Riyadh</v>
      </c>
      <c r="F71" s="40" t="str">
        <f>'[2]Evalution 25'!E61</f>
        <v>Shahid Growth Senior Executive</v>
      </c>
      <c r="G71" s="40" t="str">
        <f>'[2]Evalution 25'!D61</f>
        <v>Client Growth</v>
      </c>
      <c r="H71" s="40" t="s">
        <v>554</v>
      </c>
      <c r="I71" s="40" t="s">
        <v>554</v>
      </c>
      <c r="J71" s="40" t="str">
        <f t="shared" si="0"/>
        <v>NA</v>
      </c>
      <c r="K71" s="40" t="s">
        <v>554</v>
      </c>
      <c r="L71" s="40" t="s">
        <v>554</v>
      </c>
      <c r="M71" s="40" t="str">
        <f t="shared" si="1"/>
        <v>NA</v>
      </c>
      <c r="N71" s="40">
        <f>'[2]Evalution 25'!G61</f>
        <v>4</v>
      </c>
      <c r="O71" s="40">
        <f>'[2]Evalution 25'!H61</f>
        <v>4.2</v>
      </c>
      <c r="P71" s="40">
        <f t="shared" si="2"/>
        <v>4.0999999999999996</v>
      </c>
      <c r="Q71" s="43">
        <f t="shared" si="6"/>
        <v>2.0499999999999998</v>
      </c>
      <c r="R71" s="43" t="str">
        <f t="shared" si="3"/>
        <v>High</v>
      </c>
      <c r="S71" s="44" t="str">
        <f>IFERROR( _xlfn.XLOOKUP(Q71,[2]Result!$A$7:$A$15,[2]Result!$C$7:$C$15,"Out of range",-1),"N/A")</f>
        <v>1C</v>
      </c>
      <c r="T71" s="43" t="str">
        <f t="shared" si="4"/>
        <v>NA</v>
      </c>
      <c r="U71" s="25" t="str" cm="1">
        <f t="array" ref="U71">IF(OR(J71="NA",J71="NR",ISBLANK(J71)),J71,IFERROR(INDEX([2]Result!$C$7:$C$15,MATCH(1,(J71&gt;=[2]Result!$A$7:$A$15)*(J71&lt;=[2]Result!$B$7:$B$15),0)), "NA"))</f>
        <v>NA</v>
      </c>
      <c r="V71" s="25" t="str">
        <f t="shared" si="5"/>
        <v>NA</v>
      </c>
      <c r="W71" s="25" t="str" cm="1">
        <f t="array" ref="W71">IF(OR(M71="NA",M71="NR",ISBLANK(M71)),M71,IFERROR(INDEX([2]Result!$C$7:$C$15,MATCH(1,(M71&gt;=[2]Result!$A$7:$A$15)*(M71&lt;=[2]Result!$B$7:$B$15),0)), "NA"))</f>
        <v>NA</v>
      </c>
    </row>
    <row r="72" spans="1:23" ht="15.75" x14ac:dyDescent="0.25">
      <c r="A72" s="40">
        <v>61</v>
      </c>
      <c r="B72" s="41">
        <v>49298</v>
      </c>
      <c r="C72" s="40" t="str">
        <f>'[2]Evalution 25'!B62</f>
        <v>Ghalia Abdulelah Saleh Harandah</v>
      </c>
      <c r="D72" s="42">
        <v>45468</v>
      </c>
      <c r="E72" s="40" t="str">
        <f>'[2]Evalution 25'!C62</f>
        <v>Riyadh</v>
      </c>
      <c r="F72" s="40" t="str">
        <f>'[2]Evalution 25'!E62</f>
        <v>Senior Executive- Graphic Designer-MMS</v>
      </c>
      <c r="G72" s="40" t="str">
        <f>'[2]Evalution 25'!D62</f>
        <v>Marketing</v>
      </c>
      <c r="H72" s="40" t="s">
        <v>554</v>
      </c>
      <c r="I72" s="40" t="s">
        <v>554</v>
      </c>
      <c r="J72" s="40" t="str">
        <f t="shared" si="0"/>
        <v>NA</v>
      </c>
      <c r="K72" s="40">
        <f>'[2]Evalutaion 24'!G51</f>
        <v>5</v>
      </c>
      <c r="L72" s="40">
        <f>'[2]Evalutaion 24'!H51</f>
        <v>5</v>
      </c>
      <c r="M72" s="40">
        <f t="shared" si="1"/>
        <v>5</v>
      </c>
      <c r="N72" s="40">
        <f>'[2]Evalution 25'!G62</f>
        <v>5</v>
      </c>
      <c r="O72" s="40">
        <f>'[2]Evalution 25'!H62</f>
        <v>5</v>
      </c>
      <c r="P72" s="40">
        <f t="shared" si="2"/>
        <v>5</v>
      </c>
      <c r="Q72" s="43">
        <f t="shared" si="6"/>
        <v>3.3333333333333335</v>
      </c>
      <c r="R72" s="43" t="str">
        <f t="shared" si="3"/>
        <v>High</v>
      </c>
      <c r="S72" s="46" t="str">
        <f>IFERROR( _xlfn.XLOOKUP(Q72,[2]Result!$A$7:$A$15,[2]Result!$C$7:$C$15,"Out of range",-1),"N/A")</f>
        <v>2C</v>
      </c>
      <c r="T72" s="43" t="str">
        <f t="shared" si="4"/>
        <v>NA</v>
      </c>
      <c r="U72" s="25" t="str" cm="1">
        <f t="array" ref="U72">IF(OR(J72="NA",J72="NR",ISBLANK(J72)),J72,IFERROR(INDEX([2]Result!$C$7:$C$15,MATCH(1,(J72&gt;=[2]Result!$A$7:$A$15)*(J72&lt;=[2]Result!$B$7:$B$15),0)), "NA"))</f>
        <v>NA</v>
      </c>
      <c r="V72" s="25">
        <f t="shared" si="5"/>
        <v>5</v>
      </c>
      <c r="W72" s="25" t="str" cm="1">
        <f t="array" ref="W72">IF(OR(M72="NA",M72="NR",ISBLANK(M72)),M72,IFERROR(INDEX([2]Result!$C$7:$C$15,MATCH(1,(M72&gt;=[2]Result!$A$7:$A$15)*(M72&lt;=[2]Result!$B$7:$B$15),0)), "NA"))</f>
        <v>3C</v>
      </c>
    </row>
    <row r="73" spans="1:23" ht="15.75" x14ac:dyDescent="0.25">
      <c r="A73" s="40">
        <v>62</v>
      </c>
      <c r="B73" s="41">
        <v>49496</v>
      </c>
      <c r="C73" s="40" t="str">
        <f>'[2]Evalution 25'!B63</f>
        <v>Ghida Jihad Salem El Husseini</v>
      </c>
      <c r="D73" s="42">
        <v>45566</v>
      </c>
      <c r="E73" s="40" t="str">
        <f>'[2]Evalution 25'!C63</f>
        <v>Dubai</v>
      </c>
      <c r="F73" s="40" t="str">
        <f>'[2]Evalution 25'!E63</f>
        <v>Shahid Growth Manager</v>
      </c>
      <c r="G73" s="40" t="str">
        <f>'[2]Evalution 25'!D63</f>
        <v>Client Growth</v>
      </c>
      <c r="H73" s="40" t="s">
        <v>554</v>
      </c>
      <c r="I73" s="40" t="s">
        <v>554</v>
      </c>
      <c r="J73" s="40" t="str">
        <f t="shared" si="0"/>
        <v>NA</v>
      </c>
      <c r="K73" s="40" t="s">
        <v>554</v>
      </c>
      <c r="L73" s="40" t="s">
        <v>554</v>
      </c>
      <c r="M73" s="40" t="str">
        <f t="shared" si="1"/>
        <v>NR</v>
      </c>
      <c r="N73" s="40">
        <f>'[2]Evalution 25'!G63</f>
        <v>4</v>
      </c>
      <c r="O73" s="40">
        <f>'[2]Evalution 25'!H63</f>
        <v>4</v>
      </c>
      <c r="P73" s="40">
        <f t="shared" si="2"/>
        <v>4</v>
      </c>
      <c r="Q73" s="43">
        <f t="shared" si="6"/>
        <v>2</v>
      </c>
      <c r="R73" s="43" t="str">
        <f t="shared" si="3"/>
        <v>High</v>
      </c>
      <c r="S73" s="45" t="str">
        <f>IFERROR( _xlfn.XLOOKUP(Q73,[2]Result!$A$7:$A$15,[2]Result!$C$7:$C$15,"Out of range",-1),"N/A")</f>
        <v>1C</v>
      </c>
      <c r="T73" s="43" t="str">
        <f t="shared" si="4"/>
        <v>NA</v>
      </c>
      <c r="U73" s="25" t="str" cm="1">
        <f t="array" ref="U73">IF(OR(J73="NA",J73="NR",ISBLANK(J73)),J73,IFERROR(INDEX([2]Result!$C$7:$C$15,MATCH(1,(J73&gt;=[2]Result!$A$7:$A$15)*(J73&lt;=[2]Result!$B$7:$B$15),0)), "NA"))</f>
        <v>NA</v>
      </c>
      <c r="V73" s="25" t="str">
        <f t="shared" si="5"/>
        <v>NR</v>
      </c>
      <c r="W73" s="25" t="str" cm="1">
        <f t="array" ref="W73">IF(OR(M73="NA",M73="NR",ISBLANK(M73)),M73,IFERROR(INDEX([2]Result!$C$7:$C$15,MATCH(1,(M73&gt;=[2]Result!$A$7:$A$15)*(M73&lt;=[2]Result!$B$7:$B$15),0)), "NA"))</f>
        <v>NR</v>
      </c>
    </row>
    <row r="74" spans="1:23" ht="15.75" x14ac:dyDescent="0.25">
      <c r="A74" s="40">
        <v>63</v>
      </c>
      <c r="B74" s="41">
        <v>30967</v>
      </c>
      <c r="C74" s="40" t="str">
        <f>'[2]Evalution 25'!B64</f>
        <v>Hamad Abdullah Hamad Alhumaid</v>
      </c>
      <c r="D74" s="42">
        <v>44626</v>
      </c>
      <c r="E74" s="40" t="str">
        <f>'[2]Evalution 25'!C64</f>
        <v>Riyadh</v>
      </c>
      <c r="F74" s="40" t="str">
        <f>'[2]Evalution 25'!E64</f>
        <v>Client Growth Associate Director</v>
      </c>
      <c r="G74" s="40" t="str">
        <f>'[2]Evalution 25'!D64</f>
        <v>Client Growth</v>
      </c>
      <c r="H74" s="40">
        <f>'[2]Evalutaion 23'!G42</f>
        <v>5</v>
      </c>
      <c r="I74" s="40">
        <f>'[2]Evalutaion 23'!H42</f>
        <v>4.5</v>
      </c>
      <c r="J74" s="40">
        <f t="shared" si="0"/>
        <v>4.75</v>
      </c>
      <c r="K74" s="40">
        <f>'[2]Evalutaion 24'!G52</f>
        <v>5</v>
      </c>
      <c r="L74" s="40">
        <f>'[2]Evalutaion 24'!H52</f>
        <v>5</v>
      </c>
      <c r="M74" s="40">
        <f t="shared" si="1"/>
        <v>5</v>
      </c>
      <c r="N74" s="40">
        <f>'[2]Evalution 25'!G64</f>
        <v>4.8</v>
      </c>
      <c r="O74" s="40">
        <f>'[2]Evalution 25'!H64</f>
        <v>4.8</v>
      </c>
      <c r="P74" s="40">
        <f t="shared" si="2"/>
        <v>4.8</v>
      </c>
      <c r="Q74" s="43">
        <f t="shared" si="6"/>
        <v>3.6375000000000002</v>
      </c>
      <c r="R74" s="43" t="str">
        <f t="shared" si="3"/>
        <v>High</v>
      </c>
      <c r="S74" s="44" t="str">
        <f>IFERROR( _xlfn.XLOOKUP(Q74,[2]Result!$A$7:$A$15,[2]Result!$C$7:$C$15,"Out of range",-1),"N/A")</f>
        <v>3A</v>
      </c>
      <c r="T74" s="43">
        <f t="shared" si="4"/>
        <v>4.75</v>
      </c>
      <c r="U74" s="25" t="str" cm="1">
        <f t="array" ref="U74">IF(OR(J74="NA",J74="NR",ISBLANK(J74)),J74,IFERROR(INDEX([2]Result!$C$7:$C$15,MATCH(1,(J74&gt;=[2]Result!$A$7:$A$15)*(J74&lt;=[2]Result!$B$7:$B$15),0)), "NA"))</f>
        <v>3C</v>
      </c>
      <c r="V74" s="25">
        <f t="shared" si="5"/>
        <v>5</v>
      </c>
      <c r="W74" s="25" t="str" cm="1">
        <f t="array" ref="W74">IF(OR(M74="NA",M74="NR",ISBLANK(M74)),M74,IFERROR(INDEX([2]Result!$C$7:$C$15,MATCH(1,(M74&gt;=[2]Result!$A$7:$A$15)*(M74&lt;=[2]Result!$B$7:$B$15),0)), "NA"))</f>
        <v>3C</v>
      </c>
    </row>
    <row r="75" spans="1:23" ht="15.75" x14ac:dyDescent="0.25">
      <c r="A75" s="40">
        <v>64</v>
      </c>
      <c r="B75" s="41">
        <v>48373</v>
      </c>
      <c r="C75" s="40" t="str">
        <f>'[2]Evalution 25'!B65</f>
        <v>Hani Hashem Taha</v>
      </c>
      <c r="D75" s="42">
        <v>45270</v>
      </c>
      <c r="E75" s="40" t="str">
        <f>'[2]Evalution 25'!C65</f>
        <v>Riyadh</v>
      </c>
      <c r="F75" s="40" t="str">
        <f>'[2]Evalution 25'!E65</f>
        <v>Shahid Growth Senior Executive</v>
      </c>
      <c r="G75" s="40" t="str">
        <f>'[2]Evalution 25'!D65</f>
        <v>Client Growth</v>
      </c>
      <c r="H75" s="40" t="s">
        <v>554</v>
      </c>
      <c r="I75" s="40" t="s">
        <v>554</v>
      </c>
      <c r="J75" s="40" t="str">
        <f t="shared" si="0"/>
        <v>NR</v>
      </c>
      <c r="K75" s="40">
        <f>'[2]Evalutaion 24'!G53</f>
        <v>3.2</v>
      </c>
      <c r="L75" s="40">
        <f>'[2]Evalutaion 24'!H53</f>
        <v>4</v>
      </c>
      <c r="M75" s="40">
        <f t="shared" si="1"/>
        <v>3.6</v>
      </c>
      <c r="N75" s="40">
        <f>'[2]Evalution 25'!G65</f>
        <v>4.0999999999999996</v>
      </c>
      <c r="O75" s="40">
        <f>'[2]Evalution 25'!H65</f>
        <v>4</v>
      </c>
      <c r="P75" s="40">
        <f t="shared" si="2"/>
        <v>4.05</v>
      </c>
      <c r="Q75" s="43">
        <f t="shared" si="6"/>
        <v>2.5500000000000003</v>
      </c>
      <c r="R75" s="43" t="str">
        <f t="shared" si="3"/>
        <v>High</v>
      </c>
      <c r="S75" s="45" t="str">
        <f>IFERROR( _xlfn.XLOOKUP(Q75,[2]Result!$A$7:$A$15,[2]Result!$C$7:$C$15,"Out of range",-1),"N/A")</f>
        <v>2A</v>
      </c>
      <c r="T75" s="43" t="str">
        <f t="shared" si="4"/>
        <v>NR</v>
      </c>
      <c r="U75" s="25" t="str" cm="1">
        <f t="array" ref="U75">IF(OR(J75="NA",J75="NR",ISBLANK(J75)),J75,IFERROR(INDEX([2]Result!$C$7:$C$15,MATCH(1,(J75&gt;=[2]Result!$A$7:$A$15)*(J75&lt;=[2]Result!$B$7:$B$15),0)), "NA"))</f>
        <v>NR</v>
      </c>
      <c r="V75" s="25">
        <f t="shared" si="5"/>
        <v>3.6</v>
      </c>
      <c r="W75" s="25" t="str" cm="1">
        <f t="array" ref="W75">IF(OR(M75="NA",M75="NR",ISBLANK(M75)),M75,IFERROR(INDEX([2]Result!$C$7:$C$15,MATCH(1,(M75&gt;=[2]Result!$A$7:$A$15)*(M75&lt;=[2]Result!$B$7:$B$15),0)), "NA"))</f>
        <v>3A</v>
      </c>
    </row>
    <row r="76" spans="1:23" ht="15.75" x14ac:dyDescent="0.25">
      <c r="A76" s="40">
        <v>65</v>
      </c>
      <c r="B76" s="41">
        <v>48484</v>
      </c>
      <c r="C76" s="40" t="str">
        <f>'[2]Evalution 25'!B66</f>
        <v>Hicham Chekri Fakhoury</v>
      </c>
      <c r="D76" s="42">
        <v>45293</v>
      </c>
      <c r="E76" s="40" t="str">
        <f>'[2]Evalution 25'!C66</f>
        <v>Dubai</v>
      </c>
      <c r="F76" s="40" t="str">
        <f>'[2]Evalution 25'!E66</f>
        <v>Content Solutions Lead</v>
      </c>
      <c r="G76" s="40" t="str">
        <f>'[2]Evalution 25'!D66</f>
        <v>Content Solutions</v>
      </c>
      <c r="H76" s="40" t="s">
        <v>554</v>
      </c>
      <c r="I76" s="40" t="s">
        <v>554</v>
      </c>
      <c r="J76" s="40" t="str">
        <f t="shared" si="0"/>
        <v>NA</v>
      </c>
      <c r="K76" s="40">
        <f>'[2]Evalutaion 24'!G54</f>
        <v>3.6</v>
      </c>
      <c r="L76" s="40">
        <f>'[2]Evalutaion 24'!H54</f>
        <v>4</v>
      </c>
      <c r="M76" s="40">
        <f t="shared" si="1"/>
        <v>3.8</v>
      </c>
      <c r="N76" s="40">
        <f>'[2]Evalution 25'!G66</f>
        <v>5</v>
      </c>
      <c r="O76" s="40">
        <f>'[2]Evalution 25'!H66</f>
        <v>5</v>
      </c>
      <c r="P76" s="40">
        <f t="shared" si="2"/>
        <v>5</v>
      </c>
      <c r="Q76" s="43">
        <f t="shared" si="6"/>
        <v>2.9333333333333336</v>
      </c>
      <c r="R76" s="43" t="str">
        <f t="shared" si="3"/>
        <v>High</v>
      </c>
      <c r="S76" s="45" t="str">
        <f>IFERROR( _xlfn.XLOOKUP(Q76,[2]Result!$A$7:$A$15,[2]Result!$C$7:$C$15,"Out of range",-1),"N/A")</f>
        <v>2B</v>
      </c>
      <c r="T76" s="43" t="str">
        <f t="shared" si="4"/>
        <v>NA</v>
      </c>
      <c r="U76" s="25" t="str" cm="1">
        <f t="array" ref="U76">IF(OR(J76="NA",J76="NR",ISBLANK(J76)),J76,IFERROR(INDEX([2]Result!$C$7:$C$15,MATCH(1,(J76&gt;=[2]Result!$A$7:$A$15)*(J76&lt;=[2]Result!$B$7:$B$15),0)), "NA"))</f>
        <v>NA</v>
      </c>
      <c r="V76" s="25">
        <f t="shared" si="5"/>
        <v>3.8</v>
      </c>
      <c r="W76" s="25" t="str" cm="1">
        <f t="array" ref="W76">IF(OR(M76="NA",M76="NR",ISBLANK(M76)),M76,IFERROR(INDEX([2]Result!$C$7:$C$15,MATCH(1,(M76&gt;=[2]Result!$A$7:$A$15)*(M76&lt;=[2]Result!$B$7:$B$15),0)), "NA"))</f>
        <v>3A</v>
      </c>
    </row>
    <row r="77" spans="1:23" ht="15.75" x14ac:dyDescent="0.25">
      <c r="A77" s="40">
        <v>66</v>
      </c>
      <c r="B77" s="41">
        <v>49540</v>
      </c>
      <c r="C77" s="40" t="str">
        <f>'[2]Evalution 25'!B67</f>
        <v>Mohamed Mahmoud Abou Naaj</v>
      </c>
      <c r="D77" s="42">
        <v>45508</v>
      </c>
      <c r="E77" s="40" t="str">
        <f>'[2]Evalution 25'!C67</f>
        <v>Dubai</v>
      </c>
      <c r="F77" s="40" t="str">
        <f>'[2]Evalution 25'!E67</f>
        <v>Accountant-MMS</v>
      </c>
      <c r="G77" s="40" t="str">
        <f>'[2]Evalution 25'!D67</f>
        <v>Finance</v>
      </c>
      <c r="H77" s="40" t="s">
        <v>554</v>
      </c>
      <c r="I77" s="40" t="s">
        <v>554</v>
      </c>
      <c r="J77" s="40" t="str">
        <f t="shared" ref="J77:J140" si="7">IF(COUNT(H77:I77)&gt;0,AVERAGEIF(H77:I77,"&gt;=0"), IF(AND(ISNUMBER(D77),D77&lt;=DATE(2023,12,31)),"NR","NA"))</f>
        <v>NA</v>
      </c>
      <c r="K77" s="40">
        <f>'[2]Evalutaion 24'!G55</f>
        <v>3</v>
      </c>
      <c r="L77" s="40">
        <f>'[2]Evalutaion 24'!H55</f>
        <v>3</v>
      </c>
      <c r="M77" s="40">
        <f t="shared" ref="M77:M140" si="8">IF(COUNT(K77:L77)&gt;0,AVERAGEIF(K77:L77,"&gt;=0"), IF(AND(ISNUMBER(D77),D77&lt;=DATE(2024,12,31)),"NR","NA"))</f>
        <v>3</v>
      </c>
      <c r="N77" s="40">
        <f>'[2]Evalution 25'!G67</f>
        <v>4.2</v>
      </c>
      <c r="O77" s="40">
        <f>'[2]Evalution 25'!H67</f>
        <v>4.3</v>
      </c>
      <c r="P77" s="40">
        <f t="shared" ref="P77:P140" si="9">IF(COUNT(N77:O77)&gt;0,AVERAGEIF(N77:O77,"&gt;=0"), IF(AND(ISNUMBER(D77),D77&lt;=DATE(2025,12,31)),"NR","NA"))</f>
        <v>4.25</v>
      </c>
      <c r="Q77" s="43">
        <f t="shared" si="6"/>
        <v>2.4166666666666665</v>
      </c>
      <c r="R77" s="43" t="str">
        <f t="shared" ref="R77:R140" si="10">IF(P77="","",
IF(OR(P77="NR",P77="NA"),"NA",
IF(P77&lt;3,"Poor",
IF(P77&lt;3.8,"Average","High")
)))</f>
        <v>High</v>
      </c>
      <c r="S77" s="45" t="str">
        <f>IFERROR( _xlfn.XLOOKUP(Q77,[2]Result!$A$7:$A$15,[2]Result!$C$7:$C$15,"Out of range",-1),"N/A")</f>
        <v>2A</v>
      </c>
      <c r="T77" s="43" t="str">
        <f t="shared" ref="T77:T115" si="11">IF($D77&gt;DATE(2023,12,31),"NA",IF(J77="","NR",J77))</f>
        <v>NA</v>
      </c>
      <c r="U77" s="25" t="str" cm="1">
        <f t="array" ref="U77">IF(OR(J77="NA",J77="NR",ISBLANK(J77)),J77,IFERROR(INDEX([2]Result!$C$7:$C$15,MATCH(1,(J77&gt;=[2]Result!$A$7:$A$15)*(J77&lt;=[2]Result!$B$7:$B$15),0)), "NA"))</f>
        <v>NA</v>
      </c>
      <c r="V77" s="25">
        <f t="shared" ref="V77:V140" si="12">IF($D77&gt;DATE(2024,12,31),"NA",IF(M77="","NR",M77))</f>
        <v>3</v>
      </c>
      <c r="W77" s="25" t="str" cm="1">
        <f t="array" ref="W77">IF(OR(M77="NA",M77="NR",ISBLANK(M77)),M77,IFERROR(INDEX([2]Result!$C$7:$C$15,MATCH(1,(M77&gt;=[2]Result!$A$7:$A$15)*(M77&lt;=[2]Result!$B$7:$B$15),0)), "NA"))</f>
        <v>2B</v>
      </c>
    </row>
    <row r="78" spans="1:23" ht="15.75" x14ac:dyDescent="0.25">
      <c r="A78" s="40">
        <v>67</v>
      </c>
      <c r="B78" s="41">
        <v>31248</v>
      </c>
      <c r="C78" s="40" t="str">
        <f>'[2]Evalution 25'!B68</f>
        <v xml:space="preserve">Riad Farouk Jneid </v>
      </c>
      <c r="D78" s="42">
        <v>44339</v>
      </c>
      <c r="E78" s="40" t="str">
        <f>'[2]Evalution 25'!C68</f>
        <v>Dubai</v>
      </c>
      <c r="F78" s="40" t="str">
        <f>'[2]Evalution 25'!E68</f>
        <v>Finance Supervisor-MMS</v>
      </c>
      <c r="G78" s="40" t="str">
        <f>'[2]Evalution 25'!D68</f>
        <v>Finance</v>
      </c>
      <c r="H78" s="40">
        <f>'[2]Evalutaion 23'!G43</f>
        <v>3.2</v>
      </c>
      <c r="I78" s="40">
        <f>'[2]Evalutaion 23'!H43</f>
        <v>3.3</v>
      </c>
      <c r="J78" s="40">
        <f t="shared" si="7"/>
        <v>3.25</v>
      </c>
      <c r="K78" s="40">
        <f>'[2]Evalutaion 24'!G56</f>
        <v>3.6</v>
      </c>
      <c r="L78" s="40">
        <f>'[2]Evalutaion 24'!H56</f>
        <v>3.2</v>
      </c>
      <c r="M78" s="40">
        <f t="shared" si="8"/>
        <v>3.4000000000000004</v>
      </c>
      <c r="N78" s="40">
        <f>'[2]Evalution 25'!G68</f>
        <v>4.0999999999999996</v>
      </c>
      <c r="O78" s="40">
        <f>'[2]Evalution 25'!H68</f>
        <v>4.3</v>
      </c>
      <c r="P78" s="40">
        <f t="shared" si="9"/>
        <v>4.1999999999999993</v>
      </c>
      <c r="Q78" s="43">
        <f t="shared" ref="Q78:Q141" si="13">AVERAGE(J78,M78,P78,)</f>
        <v>2.7124999999999999</v>
      </c>
      <c r="R78" s="43" t="str">
        <f t="shared" si="10"/>
        <v>High</v>
      </c>
      <c r="S78" s="44" t="str">
        <f>IFERROR( _xlfn.XLOOKUP(Q78,[2]Result!$A$7:$A$15,[2]Result!$C$7:$C$15,"Out of range",-1),"N/A")</f>
        <v>2B</v>
      </c>
      <c r="T78" s="43">
        <f t="shared" si="11"/>
        <v>3.25</v>
      </c>
      <c r="U78" s="25" t="str" cm="1">
        <f t="array" ref="U78">IF(OR(J78="NA",J78="NR",ISBLANK(J78)),J78,IFERROR(INDEX([2]Result!$C$7:$C$15,MATCH(1,(J78&gt;=[2]Result!$A$7:$A$15)*(J78&lt;=[2]Result!$B$7:$B$15),0)), "NA"))</f>
        <v>2C</v>
      </c>
      <c r="V78" s="25">
        <f t="shared" si="12"/>
        <v>3.4000000000000004</v>
      </c>
      <c r="W78" s="25" t="str" cm="1">
        <f t="array" ref="W78">IF(OR(M78="NA",M78="NR",ISBLANK(M78)),M78,IFERROR(INDEX([2]Result!$C$7:$C$15,MATCH(1,(M78&gt;=[2]Result!$A$7:$A$15)*(M78&lt;=[2]Result!$B$7:$B$15),0)), "NA"))</f>
        <v>2C</v>
      </c>
    </row>
    <row r="79" spans="1:23" ht="15.75" x14ac:dyDescent="0.25">
      <c r="A79" s="40">
        <v>68</v>
      </c>
      <c r="B79" s="41">
        <v>10305</v>
      </c>
      <c r="C79" s="40" t="str">
        <f>'[2]Evalution 25'!B69</f>
        <v xml:space="preserve">Husni  Ref'at Husni Nasir </v>
      </c>
      <c r="D79" s="42">
        <v>44146</v>
      </c>
      <c r="E79" s="40" t="str">
        <f>'[2]Evalution 25'!C69</f>
        <v>Dubai</v>
      </c>
      <c r="F79" s="40" t="str">
        <f>'[2]Evalution 25'!E69</f>
        <v>Senior Traffic Executive</v>
      </c>
      <c r="G79" s="40" t="str">
        <f>'[2]Evalution 25'!D69</f>
        <v>Traffic</v>
      </c>
      <c r="H79" s="40">
        <f>'[2]Evalutaion 23'!G44</f>
        <v>3.8</v>
      </c>
      <c r="I79" s="40">
        <f>'[2]Evalutaion 23'!H44</f>
        <v>3.7</v>
      </c>
      <c r="J79" s="40">
        <f t="shared" si="7"/>
        <v>3.75</v>
      </c>
      <c r="K79" s="40">
        <f>'[2]Evalutaion 24'!G57</f>
        <v>3.8</v>
      </c>
      <c r="L79" s="40">
        <f>'[2]Evalutaion 24'!H57</f>
        <v>4</v>
      </c>
      <c r="M79" s="40">
        <f t="shared" si="8"/>
        <v>3.9</v>
      </c>
      <c r="N79" s="40">
        <f>'[2]Evalution 25'!G69</f>
        <v>3.9</v>
      </c>
      <c r="O79" s="40">
        <f>'[2]Evalution 25'!H69</f>
        <v>4</v>
      </c>
      <c r="P79" s="40">
        <f t="shared" si="9"/>
        <v>3.95</v>
      </c>
      <c r="Q79" s="43">
        <f t="shared" si="13"/>
        <v>2.9000000000000004</v>
      </c>
      <c r="R79" s="43" t="str">
        <f t="shared" si="10"/>
        <v>High</v>
      </c>
      <c r="S79" s="45" t="str">
        <f>IFERROR( _xlfn.XLOOKUP(Q79,[2]Result!$A$7:$A$15,[2]Result!$C$7:$C$15,"Out of range",-1),"N/A")</f>
        <v>2B</v>
      </c>
      <c r="T79" s="43">
        <f t="shared" si="11"/>
        <v>3.75</v>
      </c>
      <c r="U79" s="25" t="str" cm="1">
        <f t="array" ref="U79">IF(OR(J79="NA",J79="NR",ISBLANK(J79)),J79,IFERROR(INDEX([2]Result!$C$7:$C$15,MATCH(1,(J79&gt;=[2]Result!$A$7:$A$15)*(J79&lt;=[2]Result!$B$7:$B$15),0)), "NA"))</f>
        <v>3A</v>
      </c>
      <c r="V79" s="25">
        <f t="shared" si="12"/>
        <v>3.9</v>
      </c>
      <c r="W79" s="25" t="str" cm="1">
        <f t="array" ref="W79">IF(OR(M79="NA",M79="NR",ISBLANK(M79)),M79,IFERROR(INDEX([2]Result!$C$7:$C$15,MATCH(1,(M79&gt;=[2]Result!$A$7:$A$15)*(M79&lt;=[2]Result!$B$7:$B$15),0)), "NA"))</f>
        <v>3A</v>
      </c>
    </row>
    <row r="80" spans="1:23" ht="15.75" x14ac:dyDescent="0.25">
      <c r="A80" s="40">
        <v>69</v>
      </c>
      <c r="B80" s="41">
        <v>6592</v>
      </c>
      <c r="C80" s="40" t="str">
        <f>'[2]Evalution 25'!B70</f>
        <v xml:space="preserve">Robby  Skaria  Thomas </v>
      </c>
      <c r="D80" s="42">
        <v>44362</v>
      </c>
      <c r="E80" s="40" t="str">
        <f>'[2]Evalution 25'!C70</f>
        <v>Dubai</v>
      </c>
      <c r="F80" s="40" t="str">
        <f>'[2]Evalution 25'!E70</f>
        <v>Assistant Finance Manager</v>
      </c>
      <c r="G80" s="40" t="str">
        <f>'[2]Evalution 25'!D70</f>
        <v>Finance</v>
      </c>
      <c r="H80" s="40">
        <f>'[2]Evalutaion 23'!G45</f>
        <v>0</v>
      </c>
      <c r="I80" s="40">
        <f>'[2]Evalutaion 23'!H45</f>
        <v>4.3</v>
      </c>
      <c r="J80" s="40">
        <f t="shared" si="7"/>
        <v>2.15</v>
      </c>
      <c r="K80" s="40">
        <f>'[2]Evalutaion 24'!G58</f>
        <v>4</v>
      </c>
      <c r="L80" s="40">
        <f>'[2]Evalutaion 24'!H58</f>
        <v>4</v>
      </c>
      <c r="M80" s="40">
        <f t="shared" si="8"/>
        <v>4</v>
      </c>
      <c r="N80" s="40">
        <f>'[2]Evalution 25'!G70</f>
        <v>4.4000000000000004</v>
      </c>
      <c r="O80" s="40">
        <f>'[2]Evalution 25'!H70</f>
        <v>3.7</v>
      </c>
      <c r="P80" s="40">
        <f t="shared" si="9"/>
        <v>4.0500000000000007</v>
      </c>
      <c r="Q80" s="43">
        <f t="shared" si="13"/>
        <v>2.5500000000000003</v>
      </c>
      <c r="R80" s="43" t="str">
        <f t="shared" si="10"/>
        <v>High</v>
      </c>
      <c r="S80" s="45" t="str">
        <f>IFERROR( _xlfn.XLOOKUP(Q80,[2]Result!$A$7:$A$15,[2]Result!$C$7:$C$15,"Out of range",-1),"N/A")</f>
        <v>2A</v>
      </c>
      <c r="T80" s="43">
        <f t="shared" si="11"/>
        <v>2.15</v>
      </c>
      <c r="U80" s="25" t="str" cm="1">
        <f t="array" ref="U80">IF(OR(J80="NA",J80="NR",ISBLANK(J80)),J80,IFERROR(INDEX([2]Result!$C$7:$C$15,MATCH(1,(J80&gt;=[2]Result!$A$7:$A$15)*(J80&lt;=[2]Result!$B$7:$B$15),0)), "NA"))</f>
        <v>2A</v>
      </c>
      <c r="V80" s="25">
        <f t="shared" si="12"/>
        <v>4</v>
      </c>
      <c r="W80" s="25" t="str" cm="1">
        <f t="array" ref="W80">IF(OR(M80="NA",M80="NR",ISBLANK(M80)),M80,IFERROR(INDEX([2]Result!$C$7:$C$15,MATCH(1,(M80&gt;=[2]Result!$A$7:$A$15)*(M80&lt;=[2]Result!$B$7:$B$15),0)), "NA"))</f>
        <v>3A</v>
      </c>
    </row>
    <row r="81" spans="1:23" ht="15.75" x14ac:dyDescent="0.25">
      <c r="A81" s="40">
        <v>70</v>
      </c>
      <c r="B81" s="41">
        <v>49622</v>
      </c>
      <c r="C81" s="40" t="str">
        <f>'[2]Evalution 25'!B71</f>
        <v>Ibrahim Ben Ahmed</v>
      </c>
      <c r="D81" s="42">
        <v>45566</v>
      </c>
      <c r="E81" s="40" t="str">
        <f>'[2]Evalution 25'!C71</f>
        <v>Dubai</v>
      </c>
      <c r="F81" s="40" t="str">
        <f>'[2]Evalution 25'!E71</f>
        <v>Shahid Growth Senior Executive</v>
      </c>
      <c r="G81" s="40" t="str">
        <f>'[2]Evalution 25'!D71</f>
        <v>Client Growth</v>
      </c>
      <c r="H81" s="40" t="s">
        <v>554</v>
      </c>
      <c r="I81" s="40" t="s">
        <v>554</v>
      </c>
      <c r="J81" s="40" t="str">
        <f t="shared" si="7"/>
        <v>NA</v>
      </c>
      <c r="K81" s="40" t="s">
        <v>554</v>
      </c>
      <c r="L81" s="40" t="s">
        <v>554</v>
      </c>
      <c r="M81" s="40" t="str">
        <f t="shared" si="8"/>
        <v>NR</v>
      </c>
      <c r="N81" s="40">
        <f>'[2]Evalution 25'!G71</f>
        <v>3.2</v>
      </c>
      <c r="O81" s="40">
        <f>'[2]Evalution 25'!H71</f>
        <v>3.8</v>
      </c>
      <c r="P81" s="40">
        <f t="shared" si="9"/>
        <v>3.5</v>
      </c>
      <c r="Q81" s="43">
        <f t="shared" si="13"/>
        <v>1.75</v>
      </c>
      <c r="R81" s="43" t="str">
        <f t="shared" si="10"/>
        <v>Average</v>
      </c>
      <c r="S81" s="44" t="str">
        <f>IFERROR( _xlfn.XLOOKUP(Q81,[2]Result!$A$7:$A$15,[2]Result!$C$7:$C$15,"Out of range",-1),"N/A")</f>
        <v>1C</v>
      </c>
      <c r="T81" s="43" t="str">
        <f t="shared" si="11"/>
        <v>NA</v>
      </c>
      <c r="U81" s="25" t="str" cm="1">
        <f t="array" ref="U81">IF(OR(J81="NA",J81="NR",ISBLANK(J81)),J81,IFERROR(INDEX([2]Result!$C$7:$C$15,MATCH(1,(J81&gt;=[2]Result!$A$7:$A$15)*(J81&lt;=[2]Result!$B$7:$B$15),0)), "NA"))</f>
        <v>NA</v>
      </c>
      <c r="V81" s="25" t="str">
        <f t="shared" si="12"/>
        <v>NR</v>
      </c>
      <c r="W81" s="25" t="str" cm="1">
        <f t="array" ref="W81">IF(OR(M81="NA",M81="NR",ISBLANK(M81)),M81,IFERROR(INDEX([2]Result!$C$7:$C$15,MATCH(1,(M81&gt;=[2]Result!$A$7:$A$15)*(M81&lt;=[2]Result!$B$7:$B$15),0)), "NA"))</f>
        <v>NR</v>
      </c>
    </row>
    <row r="82" spans="1:23" ht="15.75" x14ac:dyDescent="0.25">
      <c r="A82" s="40">
        <v>71</v>
      </c>
      <c r="B82" s="41">
        <v>10323</v>
      </c>
      <c r="C82" s="40" t="str">
        <f>'[2]Evalution 25'!B72</f>
        <v xml:space="preserve">Jacques  Touma </v>
      </c>
      <c r="D82" s="42">
        <v>44234</v>
      </c>
      <c r="E82" s="40" t="str">
        <f>'[2]Evalution 25'!C72</f>
        <v>Dubai</v>
      </c>
      <c r="F82" s="40" t="str">
        <f>'[2]Evalution 25'!E72</f>
        <v>Agency Partnerships Senior Manager</v>
      </c>
      <c r="G82" s="40" t="str">
        <f>'[2]Evalution 25'!D72</f>
        <v>Agency Partnerships</v>
      </c>
      <c r="H82" s="40" t="s">
        <v>554</v>
      </c>
      <c r="I82" s="40" t="s">
        <v>554</v>
      </c>
      <c r="J82" s="40" t="str">
        <f t="shared" si="7"/>
        <v>NR</v>
      </c>
      <c r="K82" s="40">
        <f>'[2]Evalutaion 24'!G59</f>
        <v>4</v>
      </c>
      <c r="L82" s="40">
        <f>'[2]Evalutaion 24'!H59</f>
        <v>4</v>
      </c>
      <c r="M82" s="40">
        <f t="shared" si="8"/>
        <v>4</v>
      </c>
      <c r="N82" s="40">
        <f>'[2]Evalution 25'!G72</f>
        <v>4</v>
      </c>
      <c r="O82" s="40">
        <f>'[2]Evalution 25'!H72</f>
        <v>4</v>
      </c>
      <c r="P82" s="40">
        <f t="shared" si="9"/>
        <v>4</v>
      </c>
      <c r="Q82" s="43">
        <f t="shared" si="13"/>
        <v>2.6666666666666665</v>
      </c>
      <c r="R82" s="43" t="str">
        <f t="shared" si="10"/>
        <v>High</v>
      </c>
      <c r="S82" s="45" t="str">
        <f>IFERROR( _xlfn.XLOOKUP(Q82,[2]Result!$A$7:$A$15,[2]Result!$C$7:$C$15,"Out of range",-1),"N/A")</f>
        <v>2B</v>
      </c>
      <c r="T82" s="43" t="str">
        <f t="shared" si="11"/>
        <v>NR</v>
      </c>
      <c r="U82" s="25" t="str" cm="1">
        <f t="array" ref="U82">IF(OR(J82="NA",J82="NR",ISBLANK(J82)),J82,IFERROR(INDEX([2]Result!$C$7:$C$15,MATCH(1,(J82&gt;=[2]Result!$A$7:$A$15)*(J82&lt;=[2]Result!$B$7:$B$15),0)), "NA"))</f>
        <v>NR</v>
      </c>
      <c r="V82" s="25">
        <f t="shared" si="12"/>
        <v>4</v>
      </c>
      <c r="W82" s="25" t="str" cm="1">
        <f t="array" ref="W82">IF(OR(M82="NA",M82="NR",ISBLANK(M82)),M82,IFERROR(INDEX([2]Result!$C$7:$C$15,MATCH(1,(M82&gt;=[2]Result!$A$7:$A$15)*(M82&lt;=[2]Result!$B$7:$B$15),0)), "NA"))</f>
        <v>3A</v>
      </c>
    </row>
    <row r="83" spans="1:23" ht="15.75" x14ac:dyDescent="0.25">
      <c r="A83" s="40">
        <v>72</v>
      </c>
      <c r="B83" s="41">
        <v>48343</v>
      </c>
      <c r="C83" s="40" t="str">
        <f>'[2]Evalution 25'!B73</f>
        <v>Jad Gerges Abou Mitri</v>
      </c>
      <c r="D83" s="42">
        <v>45240</v>
      </c>
      <c r="E83" s="40" t="str">
        <f>'[2]Evalution 25'!C73</f>
        <v>Dubai</v>
      </c>
      <c r="F83" s="40" t="str">
        <f>'[2]Evalution 25'!E73</f>
        <v>Shahid Growth Senior Manager</v>
      </c>
      <c r="G83" s="40" t="str">
        <f>'[2]Evalution 25'!D73</f>
        <v>Client Growth</v>
      </c>
      <c r="H83" s="40" t="s">
        <v>554</v>
      </c>
      <c r="I83" s="40" t="s">
        <v>554</v>
      </c>
      <c r="J83" s="40" t="str">
        <f t="shared" si="7"/>
        <v>NR</v>
      </c>
      <c r="K83" s="40">
        <f>'[2]Evalutaion 24'!G60</f>
        <v>3.8</v>
      </c>
      <c r="L83" s="40">
        <f>'[2]Evalutaion 24'!H60</f>
        <v>3.8</v>
      </c>
      <c r="M83" s="40">
        <f t="shared" si="8"/>
        <v>3.8</v>
      </c>
      <c r="N83" s="40">
        <f>'[2]Evalution 25'!G73</f>
        <v>3.3</v>
      </c>
      <c r="O83" s="40">
        <f>'[2]Evalution 25'!H73</f>
        <v>3.2</v>
      </c>
      <c r="P83" s="40">
        <f t="shared" si="9"/>
        <v>3.25</v>
      </c>
      <c r="Q83" s="43">
        <f t="shared" si="13"/>
        <v>2.35</v>
      </c>
      <c r="R83" s="43" t="str">
        <f t="shared" si="10"/>
        <v>Average</v>
      </c>
      <c r="S83" s="44" t="str">
        <f>IFERROR( _xlfn.XLOOKUP(Q83,[2]Result!$A$7:$A$15,[2]Result!$C$7:$C$15,"Out of range",-1),"N/A")</f>
        <v>2A</v>
      </c>
      <c r="T83" s="43" t="str">
        <f t="shared" si="11"/>
        <v>NR</v>
      </c>
      <c r="U83" s="25" t="str" cm="1">
        <f t="array" ref="U83">IF(OR(J83="NA",J83="NR",ISBLANK(J83)),J83,IFERROR(INDEX([2]Result!$C$7:$C$15,MATCH(1,(J83&gt;=[2]Result!$A$7:$A$15)*(J83&lt;=[2]Result!$B$7:$B$15),0)), "NA"))</f>
        <v>NR</v>
      </c>
      <c r="V83" s="25">
        <f t="shared" si="12"/>
        <v>3.8</v>
      </c>
      <c r="W83" s="25" t="str" cm="1">
        <f t="array" ref="W83">IF(OR(M83="NA",M83="NR",ISBLANK(M83)),M83,IFERROR(INDEX([2]Result!$C$7:$C$15,MATCH(1,(M83&gt;=[2]Result!$A$7:$A$15)*(M83&lt;=[2]Result!$B$7:$B$15),0)), "NA"))</f>
        <v>3A</v>
      </c>
    </row>
    <row r="84" spans="1:23" ht="15.75" x14ac:dyDescent="0.25">
      <c r="A84" s="40">
        <v>73</v>
      </c>
      <c r="B84" s="41">
        <v>47873</v>
      </c>
      <c r="C84" s="40" t="str">
        <f>'[2]Evalution 25'!B74</f>
        <v>Jad Wajdi  Saab</v>
      </c>
      <c r="D84" s="42">
        <v>45170</v>
      </c>
      <c r="E84" s="40" t="str">
        <f>'[2]Evalution 25'!C74</f>
        <v>Dubai</v>
      </c>
      <c r="F84" s="40" t="str">
        <f>'[2]Evalution 25'!E74</f>
        <v>Shahid Growth Lead</v>
      </c>
      <c r="G84" s="40" t="str">
        <f>'[2]Evalution 25'!D74</f>
        <v>Client Growth</v>
      </c>
      <c r="H84" s="40">
        <f>'[2]Evalutaion 23'!G47</f>
        <v>0</v>
      </c>
      <c r="I84" s="40">
        <f>'[2]Evalutaion 23'!H47</f>
        <v>4.3</v>
      </c>
      <c r="J84" s="40">
        <f t="shared" si="7"/>
        <v>2.15</v>
      </c>
      <c r="K84" s="40">
        <f>'[2]Evalutaion 24'!G61</f>
        <v>4.4000000000000004</v>
      </c>
      <c r="L84" s="40">
        <f>'[2]Evalutaion 24'!H61</f>
        <v>4.2</v>
      </c>
      <c r="M84" s="40">
        <f t="shared" si="8"/>
        <v>4.3000000000000007</v>
      </c>
      <c r="N84" s="40">
        <f>'[2]Evalution 25'!G74</f>
        <v>5</v>
      </c>
      <c r="O84" s="40">
        <f>'[2]Evalution 25'!H74</f>
        <v>5</v>
      </c>
      <c r="P84" s="40">
        <f t="shared" si="9"/>
        <v>5</v>
      </c>
      <c r="Q84" s="43">
        <f t="shared" si="13"/>
        <v>2.8625000000000003</v>
      </c>
      <c r="R84" s="43" t="str">
        <f t="shared" si="10"/>
        <v>High</v>
      </c>
      <c r="S84" s="48" t="str">
        <f>IFERROR( _xlfn.XLOOKUP(Q84,[2]Result!$A$7:$A$15,[2]Result!$C$7:$C$15,"Out of range",-1),"N/A")</f>
        <v>2B</v>
      </c>
      <c r="T84" s="43">
        <f t="shared" si="11"/>
        <v>2.15</v>
      </c>
      <c r="U84" s="25" t="str" cm="1">
        <f t="array" ref="U84">IF(OR(J84="NA",J84="NR",ISBLANK(J84)),J84,IFERROR(INDEX([2]Result!$C$7:$C$15,MATCH(1,(J84&gt;=[2]Result!$A$7:$A$15)*(J84&lt;=[2]Result!$B$7:$B$15),0)), "NA"))</f>
        <v>2A</v>
      </c>
      <c r="V84" s="25">
        <f t="shared" si="12"/>
        <v>4.3000000000000007</v>
      </c>
      <c r="W84" s="25" t="str" cm="1">
        <f t="array" ref="W84">IF(OR(M84="NA",M84="NR",ISBLANK(M84)),M84,IFERROR(INDEX([2]Result!$C$7:$C$15,MATCH(1,(M84&gt;=[2]Result!$A$7:$A$15)*(M84&lt;=[2]Result!$B$7:$B$15),0)), "NA"))</f>
        <v>3B</v>
      </c>
    </row>
    <row r="85" spans="1:23" ht="15.75" x14ac:dyDescent="0.25">
      <c r="A85" s="40">
        <v>74</v>
      </c>
      <c r="B85" s="41">
        <v>10837</v>
      </c>
      <c r="C85" s="40" t="str">
        <f>'[2]Evalution 25'!B75</f>
        <v>Jamil  Kabbara</v>
      </c>
      <c r="D85" s="42">
        <v>44255</v>
      </c>
      <c r="E85" s="40" t="str">
        <f>'[2]Evalution 25'!C75</f>
        <v>Dubai</v>
      </c>
      <c r="F85" s="40" t="str">
        <f>'[2]Evalution 25'!E75</f>
        <v>Data Analytics Senior Manager</v>
      </c>
      <c r="G85" s="40" t="str">
        <f>'[2]Evalution 25'!D75</f>
        <v>Research</v>
      </c>
      <c r="H85" s="40">
        <f>'[2]Evalutaion 23'!G48</f>
        <v>4.0999999999999996</v>
      </c>
      <c r="I85" s="40">
        <f>'[2]Evalutaion 23'!H48</f>
        <v>4.3</v>
      </c>
      <c r="J85" s="40">
        <f t="shared" si="7"/>
        <v>4.1999999999999993</v>
      </c>
      <c r="K85" s="40">
        <f>'[2]Evalutaion 24'!G62</f>
        <v>5</v>
      </c>
      <c r="L85" s="40">
        <f>'[2]Evalutaion 24'!H62</f>
        <v>5</v>
      </c>
      <c r="M85" s="40">
        <f t="shared" si="8"/>
        <v>5</v>
      </c>
      <c r="N85" s="40">
        <f>'[2]Evalution 25'!G75</f>
        <v>4.4000000000000004</v>
      </c>
      <c r="O85" s="40">
        <f>'[2]Evalution 25'!H75</f>
        <v>4.5</v>
      </c>
      <c r="P85" s="40">
        <f t="shared" si="9"/>
        <v>4.45</v>
      </c>
      <c r="Q85" s="43">
        <f t="shared" si="13"/>
        <v>3.4124999999999996</v>
      </c>
      <c r="R85" s="43" t="str">
        <f t="shared" si="10"/>
        <v>High</v>
      </c>
      <c r="S85" s="44" t="str">
        <f>IFERROR( _xlfn.XLOOKUP(Q85,[2]Result!$A$7:$A$15,[2]Result!$C$7:$C$15,"Out of range",-1),"N/A")</f>
        <v>2C</v>
      </c>
      <c r="T85" s="43">
        <f t="shared" si="11"/>
        <v>4.1999999999999993</v>
      </c>
      <c r="U85" s="25" t="str" cm="1">
        <f t="array" ref="U85">IF(OR(J85="NA",J85="NR",ISBLANK(J85)),J85,IFERROR(INDEX([2]Result!$C$7:$C$15,MATCH(1,(J85&gt;=[2]Result!$A$7:$A$15)*(J85&lt;=[2]Result!$B$7:$B$15),0)), "NA"))</f>
        <v>3B</v>
      </c>
      <c r="V85" s="25">
        <f t="shared" si="12"/>
        <v>5</v>
      </c>
      <c r="W85" s="25" t="str" cm="1">
        <f t="array" ref="W85">IF(OR(M85="NA",M85="NR",ISBLANK(M85)),M85,IFERROR(INDEX([2]Result!$C$7:$C$15,MATCH(1,(M85&gt;=[2]Result!$A$7:$A$15)*(M85&lt;=[2]Result!$B$7:$B$15),0)), "NA"))</f>
        <v>3C</v>
      </c>
    </row>
    <row r="86" spans="1:23" ht="15.75" x14ac:dyDescent="0.25">
      <c r="A86" s="40">
        <v>75</v>
      </c>
      <c r="B86" s="41">
        <v>5851</v>
      </c>
      <c r="C86" s="40" t="str">
        <f>'[2]Evalution 25'!B76</f>
        <v>Jana Tebbo</v>
      </c>
      <c r="D86" s="42">
        <v>44171</v>
      </c>
      <c r="E86" s="40" t="str">
        <f>'[2]Evalution 25'!C76</f>
        <v>Dubai</v>
      </c>
      <c r="F86" s="40" t="str">
        <f>'[2]Evalution 25'!E76</f>
        <v>Senior Lawyer</v>
      </c>
      <c r="G86" s="40" t="str">
        <f>'[2]Evalution 25'!D76</f>
        <v>Legal</v>
      </c>
      <c r="H86" s="40">
        <f>'[2]Evalutaion 23'!G49</f>
        <v>4</v>
      </c>
      <c r="I86" s="40">
        <f>'[2]Evalutaion 23'!H49</f>
        <v>3.5</v>
      </c>
      <c r="J86" s="40">
        <f t="shared" si="7"/>
        <v>3.75</v>
      </c>
      <c r="K86" s="40">
        <f>'[2]Evalutaion 24'!G63</f>
        <v>0</v>
      </c>
      <c r="L86" s="40">
        <f>'[2]Evalutaion 24'!H63</f>
        <v>0</v>
      </c>
      <c r="M86" s="40">
        <f t="shared" si="8"/>
        <v>0</v>
      </c>
      <c r="N86" s="40">
        <f>'[2]Evalution 25'!G76</f>
        <v>0</v>
      </c>
      <c r="O86" s="40">
        <f>'[2]Evalution 25'!H76</f>
        <v>0</v>
      </c>
      <c r="P86" s="40">
        <f t="shared" si="9"/>
        <v>0</v>
      </c>
      <c r="Q86" s="43">
        <f t="shared" si="13"/>
        <v>0.9375</v>
      </c>
      <c r="R86" s="43" t="str">
        <f t="shared" si="10"/>
        <v>Poor</v>
      </c>
      <c r="S86" s="48" t="str">
        <f>IFERROR( _xlfn.XLOOKUP(Q86,[2]Result!$A$7:$A$15,[2]Result!$C$7:$C$15,"Out of range",-1),"N/A")</f>
        <v>1A</v>
      </c>
      <c r="T86" s="43">
        <f t="shared" si="11"/>
        <v>3.75</v>
      </c>
      <c r="U86" s="25" t="str" cm="1">
        <f t="array" ref="U86">IF(OR(J86="NA",J86="NR",ISBLANK(J86)),J86,IFERROR(INDEX([2]Result!$C$7:$C$15,MATCH(1,(J86&gt;=[2]Result!$A$7:$A$15)*(J86&lt;=[2]Result!$B$7:$B$15),0)), "NA"))</f>
        <v>3A</v>
      </c>
      <c r="V86" s="25">
        <f t="shared" si="12"/>
        <v>0</v>
      </c>
      <c r="W86" s="25" t="str" cm="1">
        <f t="array" ref="W86">IF(OR(M86="NA",M86="NR",ISBLANK(M86)),M86,IFERROR(INDEX([2]Result!$C$7:$C$15,MATCH(1,(M86&gt;=[2]Result!$A$7:$A$15)*(M86&lt;=[2]Result!$B$7:$B$15),0)), "NA"))</f>
        <v>1A</v>
      </c>
    </row>
    <row r="87" spans="1:23" ht="15.75" x14ac:dyDescent="0.25">
      <c r="A87" s="40">
        <v>76</v>
      </c>
      <c r="B87" s="41">
        <v>47610</v>
      </c>
      <c r="C87" s="40" t="str">
        <f>'[2]Evalution 25'!B77</f>
        <v>Jerome Gallon De Layola</v>
      </c>
      <c r="D87" s="42">
        <v>45089</v>
      </c>
      <c r="E87" s="40" t="str">
        <f>'[2]Evalution 25'!C77</f>
        <v>Dubai</v>
      </c>
      <c r="F87" s="40" t="str">
        <f>'[2]Evalution 25'!E77</f>
        <v>Senior Traffic Executive - Digital</v>
      </c>
      <c r="G87" s="40" t="str">
        <f>'[2]Evalution 25'!D77</f>
        <v>Traffic</v>
      </c>
      <c r="H87" s="40">
        <f>'[2]Evalutaion 23'!G50</f>
        <v>3.8</v>
      </c>
      <c r="I87" s="40">
        <f>'[2]Evalutaion 23'!H50</f>
        <v>4</v>
      </c>
      <c r="J87" s="40">
        <f t="shared" si="7"/>
        <v>3.9</v>
      </c>
      <c r="K87" s="40">
        <f>'[2]Evalutaion 24'!G64</f>
        <v>3.8</v>
      </c>
      <c r="L87" s="40">
        <f>'[2]Evalutaion 24'!H64</f>
        <v>3.7</v>
      </c>
      <c r="M87" s="40">
        <f t="shared" si="8"/>
        <v>3.75</v>
      </c>
      <c r="N87" s="40">
        <f>'[2]Evalution 25'!G77</f>
        <v>4.7</v>
      </c>
      <c r="O87" s="40">
        <f>'[2]Evalution 25'!H77</f>
        <v>5</v>
      </c>
      <c r="P87" s="40">
        <f t="shared" si="9"/>
        <v>4.8499999999999996</v>
      </c>
      <c r="Q87" s="43">
        <f t="shared" si="13"/>
        <v>3.125</v>
      </c>
      <c r="R87" s="43" t="str">
        <f t="shared" si="10"/>
        <v>High</v>
      </c>
      <c r="S87" s="44" t="str">
        <f>IFERROR( _xlfn.XLOOKUP(Q87,[2]Result!$A$7:$A$15,[2]Result!$C$7:$C$15,"Out of range",-1),"N/A")</f>
        <v>2C</v>
      </c>
      <c r="T87" s="43">
        <f t="shared" si="11"/>
        <v>3.9</v>
      </c>
      <c r="U87" s="25" t="str" cm="1">
        <f t="array" ref="U87">IF(OR(J87="NA",J87="NR",ISBLANK(J87)),J87,IFERROR(INDEX([2]Result!$C$7:$C$15,MATCH(1,(J87&gt;=[2]Result!$A$7:$A$15)*(J87&lt;=[2]Result!$B$7:$B$15),0)), "NA"))</f>
        <v>3A</v>
      </c>
      <c r="V87" s="25">
        <f t="shared" si="12"/>
        <v>3.75</v>
      </c>
      <c r="W87" s="25" t="str" cm="1">
        <f t="array" ref="W87">IF(OR(M87="NA",M87="NR",ISBLANK(M87)),M87,IFERROR(INDEX([2]Result!$C$7:$C$15,MATCH(1,(M87&gt;=[2]Result!$A$7:$A$15)*(M87&lt;=[2]Result!$B$7:$B$15),0)), "NA"))</f>
        <v>3A</v>
      </c>
    </row>
    <row r="88" spans="1:23" ht="15.75" x14ac:dyDescent="0.25">
      <c r="A88" s="40">
        <v>77</v>
      </c>
      <c r="B88" s="41">
        <v>47624</v>
      </c>
      <c r="C88" s="40" t="str">
        <f>'[2]Evalution 25'!B78</f>
        <v>Joey Joseph Feghaly</v>
      </c>
      <c r="D88" s="42">
        <v>45089</v>
      </c>
      <c r="E88" s="40" t="str">
        <f>'[2]Evalution 25'!C78</f>
        <v>Dubai</v>
      </c>
      <c r="F88" s="40" t="str">
        <f>'[2]Evalution 25'!E78</f>
        <v>Shahid Growth Senior Manager</v>
      </c>
      <c r="G88" s="40" t="str">
        <f>'[2]Evalution 25'!D78</f>
        <v>Client Growth</v>
      </c>
      <c r="H88" s="40">
        <f>'[2]Evalutaion 23'!G51</f>
        <v>0</v>
      </c>
      <c r="I88" s="40">
        <f>'[2]Evalutaion 23'!H51</f>
        <v>4.5</v>
      </c>
      <c r="J88" s="40">
        <f t="shared" si="7"/>
        <v>2.25</v>
      </c>
      <c r="K88" s="40">
        <f>'[2]Evalutaion 24'!G65</f>
        <v>5</v>
      </c>
      <c r="L88" s="40">
        <f>'[2]Evalutaion 24'!H65</f>
        <v>4.8</v>
      </c>
      <c r="M88" s="40">
        <f t="shared" si="8"/>
        <v>4.9000000000000004</v>
      </c>
      <c r="N88" s="40">
        <f>'[2]Evalution 25'!G78</f>
        <v>4.2</v>
      </c>
      <c r="O88" s="40">
        <f>'[2]Evalution 25'!H78</f>
        <v>3.7</v>
      </c>
      <c r="P88" s="40">
        <f t="shared" si="9"/>
        <v>3.95</v>
      </c>
      <c r="Q88" s="43">
        <f t="shared" si="13"/>
        <v>2.7750000000000004</v>
      </c>
      <c r="R88" s="43" t="str">
        <f t="shared" si="10"/>
        <v>High</v>
      </c>
      <c r="S88" s="45" t="str">
        <f>IFERROR( _xlfn.XLOOKUP(Q88,[2]Result!$A$7:$A$15,[2]Result!$C$7:$C$15,"Out of range",-1),"N/A")</f>
        <v>2B</v>
      </c>
      <c r="T88" s="43">
        <f t="shared" si="11"/>
        <v>2.25</v>
      </c>
      <c r="U88" s="25" t="str" cm="1">
        <f t="array" ref="U88">IF(OR(J88="NA",J88="NR",ISBLANK(J88)),J88,IFERROR(INDEX([2]Result!$C$7:$C$15,MATCH(1,(J88&gt;=[2]Result!$A$7:$A$15)*(J88&lt;=[2]Result!$B$7:$B$15),0)), "NA"))</f>
        <v>2A</v>
      </c>
      <c r="V88" s="25">
        <f t="shared" si="12"/>
        <v>4.9000000000000004</v>
      </c>
      <c r="W88" s="25" t="str" cm="1">
        <f t="array" ref="W88">IF(OR(M88="NA",M88="NR",ISBLANK(M88)),M88,IFERROR(INDEX([2]Result!$C$7:$C$15,MATCH(1,(M88&gt;=[2]Result!$A$7:$A$15)*(M88&lt;=[2]Result!$B$7:$B$15),0)), "NA"))</f>
        <v>3C</v>
      </c>
    </row>
    <row r="89" spans="1:23" ht="15.75" x14ac:dyDescent="0.25">
      <c r="A89" s="40">
        <v>78</v>
      </c>
      <c r="B89" s="41">
        <v>10313</v>
      </c>
      <c r="C89" s="40" t="str">
        <f>'[2]Evalution 25'!B79</f>
        <v xml:space="preserve">Juel  Marticho </v>
      </c>
      <c r="D89" s="42">
        <v>44160</v>
      </c>
      <c r="E89" s="40" t="str">
        <f>'[2]Evalution 25'!C79</f>
        <v>Dubai</v>
      </c>
      <c r="F89" s="40" t="str">
        <f>'[2]Evalution 25'!E79</f>
        <v>Shahid Planning Operation Executive</v>
      </c>
      <c r="G89" s="40" t="str">
        <f>'[2]Evalution 25'!D79</f>
        <v>Client Growth</v>
      </c>
      <c r="H89" s="40">
        <f>'[2]Evalutaion 23'!G52</f>
        <v>3.7</v>
      </c>
      <c r="I89" s="40">
        <f>'[2]Evalutaion 23'!H52</f>
        <v>3.7</v>
      </c>
      <c r="J89" s="40">
        <f t="shared" si="7"/>
        <v>3.7</v>
      </c>
      <c r="K89" s="40">
        <f>'[2]Evalutaion 24'!H66</f>
        <v>4.2</v>
      </c>
      <c r="L89" s="40">
        <f>'[2]Evalutaion 24'!H66</f>
        <v>4.2</v>
      </c>
      <c r="M89" s="40">
        <f t="shared" si="8"/>
        <v>4.2</v>
      </c>
      <c r="N89" s="40">
        <f>'[2]Evalution 25'!G79</f>
        <v>4.7</v>
      </c>
      <c r="O89" s="40">
        <f>'[2]Evalution 25'!H79</f>
        <v>4.7</v>
      </c>
      <c r="P89" s="40">
        <f t="shared" si="9"/>
        <v>4.7</v>
      </c>
      <c r="Q89" s="43">
        <f t="shared" si="13"/>
        <v>3.1500000000000004</v>
      </c>
      <c r="R89" s="43" t="str">
        <f t="shared" si="10"/>
        <v>High</v>
      </c>
      <c r="S89" s="44" t="str">
        <f>IFERROR( _xlfn.XLOOKUP(Q89,[2]Result!$A$7:$A$15,[2]Result!$C$7:$C$15,"Out of range",-1),"N/A")</f>
        <v>2C</v>
      </c>
      <c r="T89" s="43">
        <f t="shared" si="11"/>
        <v>3.7</v>
      </c>
      <c r="U89" s="25" t="str" cm="1">
        <f t="array" ref="U89">IF(OR(J89="NA",J89="NR",ISBLANK(J89)),J89,IFERROR(INDEX([2]Result!$C$7:$C$15,MATCH(1,(J89&gt;=[2]Result!$A$7:$A$15)*(J89&lt;=[2]Result!$B$7:$B$15),0)), "NA"))</f>
        <v>3A</v>
      </c>
      <c r="V89" s="25">
        <f t="shared" si="12"/>
        <v>4.2</v>
      </c>
      <c r="W89" s="25" t="str" cm="1">
        <f t="array" ref="W89">IF(OR(M89="NA",M89="NR",ISBLANK(M89)),M89,IFERROR(INDEX([2]Result!$C$7:$C$15,MATCH(1,(M89&gt;=[2]Result!$A$7:$A$15)*(M89&lt;=[2]Result!$B$7:$B$15),0)), "NA"))</f>
        <v>3B</v>
      </c>
    </row>
    <row r="90" spans="1:23" ht="15.75" x14ac:dyDescent="0.25">
      <c r="A90" s="40">
        <v>79</v>
      </c>
      <c r="B90" s="41">
        <v>10867</v>
      </c>
      <c r="C90" s="40" t="str">
        <f>'[2]Evalution 25'!B80</f>
        <v>Mohamed Mokhtar Fouad Mohamed</v>
      </c>
      <c r="D90" s="42">
        <v>44615</v>
      </c>
      <c r="E90" s="40" t="str">
        <f>'[2]Evalution 25'!C80</f>
        <v>Riyadh</v>
      </c>
      <c r="F90" s="40" t="str">
        <f>'[2]Evalution 25'!E80</f>
        <v>Accountant Supervisor</v>
      </c>
      <c r="G90" s="40" t="str">
        <f>'[2]Evalution 25'!D80</f>
        <v>Finance</v>
      </c>
      <c r="H90" s="40">
        <f>'[2]Evalutaion 23'!G53</f>
        <v>4</v>
      </c>
      <c r="I90" s="40">
        <f>'[2]Evalutaion 23'!H53</f>
        <v>3.5</v>
      </c>
      <c r="J90" s="40">
        <f t="shared" si="7"/>
        <v>3.75</v>
      </c>
      <c r="K90" s="40">
        <f>'[2]Evalutaion 24'!G67</f>
        <v>3.8</v>
      </c>
      <c r="L90" s="40">
        <f>'[2]Evalutaion 24'!H67</f>
        <v>3.7</v>
      </c>
      <c r="M90" s="40">
        <f t="shared" si="8"/>
        <v>3.75</v>
      </c>
      <c r="N90" s="40">
        <f>'[2]Evalution 25'!G80</f>
        <v>4</v>
      </c>
      <c r="O90" s="40">
        <f>'[2]Evalution 25'!H80</f>
        <v>4</v>
      </c>
      <c r="P90" s="40">
        <f t="shared" si="9"/>
        <v>4</v>
      </c>
      <c r="Q90" s="43">
        <f t="shared" si="13"/>
        <v>2.875</v>
      </c>
      <c r="R90" s="43" t="str">
        <f t="shared" si="10"/>
        <v>High</v>
      </c>
      <c r="S90" s="45" t="str">
        <f>IFERROR( _xlfn.XLOOKUP(Q90,[2]Result!$A$7:$A$15,[2]Result!$C$7:$C$15,"Out of range",-1),"N/A")</f>
        <v>2B</v>
      </c>
      <c r="T90" s="43">
        <f t="shared" si="11"/>
        <v>3.75</v>
      </c>
      <c r="U90" s="25" t="str" cm="1">
        <f t="array" ref="U90">IF(OR(J90="NA",J90="NR",ISBLANK(J90)),J90,IFERROR(INDEX([2]Result!$C$7:$C$15,MATCH(1,(J90&gt;=[2]Result!$A$7:$A$15)*(J90&lt;=[2]Result!$B$7:$B$15),0)), "NA"))</f>
        <v>3A</v>
      </c>
      <c r="V90" s="25">
        <f t="shared" si="12"/>
        <v>3.75</v>
      </c>
      <c r="W90" s="25" t="str" cm="1">
        <f t="array" ref="W90">IF(OR(M90="NA",M90="NR",ISBLANK(M90)),M90,IFERROR(INDEX([2]Result!$C$7:$C$15,MATCH(1,(M90&gt;=[2]Result!$A$7:$A$15)*(M90&lt;=[2]Result!$B$7:$B$15),0)), "NA"))</f>
        <v>3A</v>
      </c>
    </row>
    <row r="91" spans="1:23" ht="15.75" x14ac:dyDescent="0.25">
      <c r="A91" s="40">
        <v>80</v>
      </c>
      <c r="B91" s="41">
        <v>48345</v>
      </c>
      <c r="C91" s="40" t="str">
        <f>'[2]Evalution 25'!B81</f>
        <v xml:space="preserve">Pornpimol Suttachat </v>
      </c>
      <c r="D91" s="42">
        <v>45245</v>
      </c>
      <c r="E91" s="40" t="str">
        <f>'[2]Evalution 25'!C81</f>
        <v>Dubai</v>
      </c>
      <c r="F91" s="40" t="str">
        <f>'[2]Evalution 25'!E81</f>
        <v>Commercial Financial Analyst-MMS</v>
      </c>
      <c r="G91" s="40" t="str">
        <f>'[2]Evalution 25'!D81</f>
        <v>Finance</v>
      </c>
      <c r="H91" s="40" t="s">
        <v>554</v>
      </c>
      <c r="I91" s="40" t="s">
        <v>554</v>
      </c>
      <c r="J91" s="40" t="str">
        <f t="shared" si="7"/>
        <v>NR</v>
      </c>
      <c r="K91" s="40">
        <f>'[2]Evalutaion 24'!G68</f>
        <v>3.5</v>
      </c>
      <c r="L91" s="40">
        <f>'[2]Evalutaion 24'!H68</f>
        <v>3.3</v>
      </c>
      <c r="M91" s="40">
        <f t="shared" si="8"/>
        <v>3.4</v>
      </c>
      <c r="N91" s="40">
        <f>'[2]Evalution 25'!G81</f>
        <v>3.6</v>
      </c>
      <c r="O91" s="40">
        <f>'[2]Evalution 25'!H81</f>
        <v>4.2</v>
      </c>
      <c r="P91" s="40">
        <f t="shared" si="9"/>
        <v>3.9000000000000004</v>
      </c>
      <c r="Q91" s="43">
        <f t="shared" si="13"/>
        <v>2.4333333333333336</v>
      </c>
      <c r="R91" s="43" t="str">
        <f t="shared" si="10"/>
        <v>High</v>
      </c>
      <c r="S91" s="44" t="str">
        <f>IFERROR( _xlfn.XLOOKUP(Q91,[2]Result!$A$7:$A$15,[2]Result!$C$7:$C$15,"Out of range",-1),"N/A")</f>
        <v>2A</v>
      </c>
      <c r="T91" s="43" t="str">
        <f t="shared" si="11"/>
        <v>NR</v>
      </c>
      <c r="U91" s="25" t="str" cm="1">
        <f t="array" ref="U91">IF(OR(J91="NA",J91="NR",ISBLANK(J91)),J91,IFERROR(INDEX([2]Result!$C$7:$C$15,MATCH(1,(J91&gt;=[2]Result!$A$7:$A$15)*(J91&lt;=[2]Result!$B$7:$B$15),0)), "NA"))</f>
        <v>NR</v>
      </c>
      <c r="V91" s="25">
        <f t="shared" si="12"/>
        <v>3.4</v>
      </c>
      <c r="W91" s="25" t="str" cm="1">
        <f t="array" ref="W91">IF(OR(M91="NA",M91="NR",ISBLANK(M91)),M91,IFERROR(INDEX([2]Result!$C$7:$C$15,MATCH(1,(M91&gt;=[2]Result!$A$7:$A$15)*(M91&lt;=[2]Result!$B$7:$B$15),0)), "NA"))</f>
        <v>2C</v>
      </c>
    </row>
    <row r="92" spans="1:23" ht="15.75" x14ac:dyDescent="0.25">
      <c r="A92" s="40">
        <v>81</v>
      </c>
      <c r="B92" s="41">
        <v>49977</v>
      </c>
      <c r="C92" s="40" t="str">
        <f>'[2]Evalution 25'!B82</f>
        <v>Karim Nasr abdelsalam Ibrahim</v>
      </c>
      <c r="D92" s="42">
        <v>45627</v>
      </c>
      <c r="E92" s="40" t="str">
        <f>'[2]Evalution 25'!C82</f>
        <v>Cairo</v>
      </c>
      <c r="F92" s="40" t="str">
        <f>'[2]Evalution 25'!E82</f>
        <v>Runner</v>
      </c>
      <c r="G92" s="40" t="str">
        <f>'[2]Evalution 25'!D82</f>
        <v>Admin</v>
      </c>
      <c r="H92" s="40" t="s">
        <v>554</v>
      </c>
      <c r="I92" s="40" t="s">
        <v>554</v>
      </c>
      <c r="J92" s="40" t="str">
        <f t="shared" si="7"/>
        <v>NA</v>
      </c>
      <c r="K92" s="40" t="s">
        <v>554</v>
      </c>
      <c r="L92" s="40" t="s">
        <v>554</v>
      </c>
      <c r="M92" s="40" t="str">
        <f t="shared" si="8"/>
        <v>NR</v>
      </c>
      <c r="N92" s="40">
        <f>'[2]Evalution 25'!G82</f>
        <v>3</v>
      </c>
      <c r="O92" s="40">
        <f>'[2]Evalution 25'!H82</f>
        <v>3</v>
      </c>
      <c r="P92" s="40">
        <f t="shared" si="9"/>
        <v>3</v>
      </c>
      <c r="Q92" s="43">
        <f t="shared" si="13"/>
        <v>1.5</v>
      </c>
      <c r="R92" s="43" t="str">
        <f t="shared" si="10"/>
        <v>Average</v>
      </c>
      <c r="S92" s="45" t="str">
        <f>IFERROR( _xlfn.XLOOKUP(Q92,[2]Result!$A$7:$A$15,[2]Result!$C$7:$C$15,"Out of range",-1),"N/A")</f>
        <v>1B</v>
      </c>
      <c r="T92" s="43" t="str">
        <f t="shared" si="11"/>
        <v>NA</v>
      </c>
      <c r="U92" s="25" t="str" cm="1">
        <f t="array" ref="U92">IF(OR(J92="NA",J92="NR",ISBLANK(J92)),J92,IFERROR(INDEX([2]Result!$C$7:$C$15,MATCH(1,(J92&gt;=[2]Result!$A$7:$A$15)*(J92&lt;=[2]Result!$B$7:$B$15),0)), "NA"))</f>
        <v>NA</v>
      </c>
      <c r="V92" s="25" t="str">
        <f t="shared" si="12"/>
        <v>NR</v>
      </c>
      <c r="W92" s="25" t="str" cm="1">
        <f t="array" ref="W92">IF(OR(M92="NA",M92="NR",ISBLANK(M92)),M92,IFERROR(INDEX([2]Result!$C$7:$C$15,MATCH(1,(M92&gt;=[2]Result!$A$7:$A$15)*(M92&lt;=[2]Result!$B$7:$B$15),0)), "NA"))</f>
        <v>NR</v>
      </c>
    </row>
    <row r="93" spans="1:23" ht="15.75" x14ac:dyDescent="0.25">
      <c r="A93" s="40">
        <v>82</v>
      </c>
      <c r="B93" s="41">
        <v>31245</v>
      </c>
      <c r="C93" s="40" t="str">
        <f>'[2]Evalution 25'!B83</f>
        <v>Karim Zead Soubra</v>
      </c>
      <c r="D93" s="42">
        <v>44271</v>
      </c>
      <c r="E93" s="40" t="str">
        <f>'[2]Evalution 25'!C83</f>
        <v>Riyadh</v>
      </c>
      <c r="F93" s="40" t="str">
        <f>'[2]Evalution 25'!E83</f>
        <v>Client Growth Associate Director</v>
      </c>
      <c r="G93" s="40" t="str">
        <f>'[2]Evalution 25'!D83</f>
        <v>Client Growth</v>
      </c>
      <c r="H93" s="40">
        <f>'[2]Evalutaion 23'!G54</f>
        <v>4.4000000000000004</v>
      </c>
      <c r="I93" s="40">
        <f>'[2]Evalutaion 23'!H54</f>
        <v>4.5</v>
      </c>
      <c r="J93" s="40">
        <f t="shared" si="7"/>
        <v>4.45</v>
      </c>
      <c r="K93" s="40">
        <f>'[2]Evalutaion 24'!G69</f>
        <v>5</v>
      </c>
      <c r="L93" s="40">
        <f>'[2]Evalutaion 24'!H69</f>
        <v>5</v>
      </c>
      <c r="M93" s="40">
        <f t="shared" si="8"/>
        <v>5</v>
      </c>
      <c r="N93" s="40">
        <f>'[2]Evalution 25'!G83</f>
        <v>4.2</v>
      </c>
      <c r="O93" s="40">
        <f>'[2]Evalution 25'!H83</f>
        <v>3.3</v>
      </c>
      <c r="P93" s="40">
        <f t="shared" si="9"/>
        <v>3.75</v>
      </c>
      <c r="Q93" s="43">
        <f t="shared" si="13"/>
        <v>3.3</v>
      </c>
      <c r="R93" s="43" t="str">
        <f t="shared" si="10"/>
        <v>Average</v>
      </c>
      <c r="S93" s="44" t="str">
        <f>IFERROR( _xlfn.XLOOKUP(Q93,[2]Result!$A$7:$A$15,[2]Result!$C$7:$C$15,"Out of range",-1),"N/A")</f>
        <v>2C</v>
      </c>
      <c r="T93" s="43">
        <f t="shared" si="11"/>
        <v>4.45</v>
      </c>
      <c r="U93" s="25" t="str" cm="1">
        <f t="array" ref="U93">IF(OR(J93="NA",J93="NR",ISBLANK(J93)),J93,IFERROR(INDEX([2]Result!$C$7:$C$15,MATCH(1,(J93&gt;=[2]Result!$A$7:$A$15)*(J93&lt;=[2]Result!$B$7:$B$15),0)), "NA"))</f>
        <v>3B</v>
      </c>
      <c r="V93" s="25">
        <f t="shared" si="12"/>
        <v>5</v>
      </c>
      <c r="W93" s="25" t="str" cm="1">
        <f t="array" ref="W93">IF(OR(M93="NA",M93="NR",ISBLANK(M93)),M93,IFERROR(INDEX([2]Result!$C$7:$C$15,MATCH(1,(M93&gt;=[2]Result!$A$7:$A$15)*(M93&lt;=[2]Result!$B$7:$B$15),0)), "NA"))</f>
        <v>3C</v>
      </c>
    </row>
    <row r="94" spans="1:23" ht="15.75" x14ac:dyDescent="0.25">
      <c r="A94" s="40">
        <v>83</v>
      </c>
      <c r="B94" s="41">
        <v>49002</v>
      </c>
      <c r="C94" s="40" t="str">
        <f>'[2]Evalution 25'!B84</f>
        <v>Karl Chedraui Bassil</v>
      </c>
      <c r="D94" s="42">
        <v>45398</v>
      </c>
      <c r="E94" s="40" t="str">
        <f>'[2]Evalution 25'!C84</f>
        <v>Dubai</v>
      </c>
      <c r="F94" s="40" t="str">
        <f>'[2]Evalution 25'!E84</f>
        <v>Integrated Media Manager</v>
      </c>
      <c r="G94" s="40" t="str">
        <f>'[2]Evalution 25'!D84</f>
        <v>Research</v>
      </c>
      <c r="H94" s="40" t="s">
        <v>554</v>
      </c>
      <c r="I94" s="40" t="s">
        <v>554</v>
      </c>
      <c r="J94" s="40" t="str">
        <f t="shared" si="7"/>
        <v>NA</v>
      </c>
      <c r="K94" s="40">
        <f>'[2]Evalutaion 24'!G70</f>
        <v>5</v>
      </c>
      <c r="L94" s="40">
        <f>'[2]Evalutaion 24'!H70</f>
        <v>5</v>
      </c>
      <c r="M94" s="40">
        <f t="shared" si="8"/>
        <v>5</v>
      </c>
      <c r="N94" s="40">
        <f>'[2]Evalution 25'!G84</f>
        <v>4.5</v>
      </c>
      <c r="O94" s="40">
        <f>'[2]Evalution 25'!H84</f>
        <v>4.8</v>
      </c>
      <c r="P94" s="40">
        <f t="shared" si="9"/>
        <v>4.6500000000000004</v>
      </c>
      <c r="Q94" s="43">
        <f t="shared" si="13"/>
        <v>3.2166666666666668</v>
      </c>
      <c r="R94" s="43" t="str">
        <f t="shared" si="10"/>
        <v>High</v>
      </c>
      <c r="S94" s="46" t="str">
        <f>IFERROR( _xlfn.XLOOKUP(Q94,[2]Result!$A$7:$A$15,[2]Result!$C$7:$C$15,"Out of range",-1),"N/A")</f>
        <v>2C</v>
      </c>
      <c r="T94" s="43" t="str">
        <f t="shared" si="11"/>
        <v>NA</v>
      </c>
      <c r="U94" s="25" t="str" cm="1">
        <f t="array" ref="U94">IF(OR(J94="NA",J94="NR",ISBLANK(J94)),J94,IFERROR(INDEX([2]Result!$C$7:$C$15,MATCH(1,(J94&gt;=[2]Result!$A$7:$A$15)*(J94&lt;=[2]Result!$B$7:$B$15),0)), "NA"))</f>
        <v>NA</v>
      </c>
      <c r="V94" s="25">
        <f t="shared" si="12"/>
        <v>5</v>
      </c>
      <c r="W94" s="25" t="str" cm="1">
        <f t="array" ref="W94">IF(OR(M94="NA",M94="NR",ISBLANK(M94)),M94,IFERROR(INDEX([2]Result!$C$7:$C$15,MATCH(1,(M94&gt;=[2]Result!$A$7:$A$15)*(M94&lt;=[2]Result!$B$7:$B$15),0)), "NA"))</f>
        <v>3C</v>
      </c>
    </row>
    <row r="95" spans="1:23" ht="15.75" x14ac:dyDescent="0.25">
      <c r="A95" s="40">
        <v>84</v>
      </c>
      <c r="B95" s="41">
        <v>2069</v>
      </c>
      <c r="C95" s="40" t="str">
        <f>'[2]Evalution 25'!B85</f>
        <v xml:space="preserve">Latifa Hamza Mohamed Shareef A Rahman Al Janahi </v>
      </c>
      <c r="D95" s="42">
        <v>39334</v>
      </c>
      <c r="E95" s="40" t="str">
        <f>'[2]Evalution 25'!C85</f>
        <v>Dubai</v>
      </c>
      <c r="F95" s="40" t="str">
        <f>'[2]Evalution 25'!E85</f>
        <v>Client Growth Director</v>
      </c>
      <c r="G95" s="40" t="str">
        <f>'[2]Evalution 25'!D85</f>
        <v>Client Growth</v>
      </c>
      <c r="H95" s="40">
        <f>'[2]Evalutaion 23'!G55</f>
        <v>5</v>
      </c>
      <c r="I95" s="40">
        <f>'[2]Evalutaion 23'!H55</f>
        <v>5</v>
      </c>
      <c r="J95" s="40">
        <f t="shared" si="7"/>
        <v>5</v>
      </c>
      <c r="K95" s="40">
        <f>'[2]Evalutaion 24'!G71</f>
        <v>5</v>
      </c>
      <c r="L95" s="40">
        <f>'[2]Evalutaion 24'!H71</f>
        <v>5</v>
      </c>
      <c r="M95" s="40">
        <f t="shared" si="8"/>
        <v>5</v>
      </c>
      <c r="N95" s="40">
        <f>'[2]Evalution 25'!G85</f>
        <v>5</v>
      </c>
      <c r="O95" s="40">
        <f>'[2]Evalution 25'!H85</f>
        <v>4.7</v>
      </c>
      <c r="P95" s="40">
        <f t="shared" si="9"/>
        <v>4.8499999999999996</v>
      </c>
      <c r="Q95" s="43">
        <f t="shared" si="13"/>
        <v>3.7124999999999999</v>
      </c>
      <c r="R95" s="43" t="str">
        <f t="shared" si="10"/>
        <v>High</v>
      </c>
      <c r="S95" s="44" t="str">
        <f>IFERROR( _xlfn.XLOOKUP(Q95,[2]Result!$A$7:$A$15,[2]Result!$C$7:$C$15,"Out of range",-1),"N/A")</f>
        <v>3A</v>
      </c>
      <c r="T95" s="43">
        <f t="shared" si="11"/>
        <v>5</v>
      </c>
      <c r="U95" s="25" t="str" cm="1">
        <f t="array" ref="U95">IF(OR(J95="NA",J95="NR",ISBLANK(J95)),J95,IFERROR(INDEX([2]Result!$C$7:$C$15,MATCH(1,(J95&gt;=[2]Result!$A$7:$A$15)*(J95&lt;=[2]Result!$B$7:$B$15),0)), "NA"))</f>
        <v>3C</v>
      </c>
      <c r="V95" s="25">
        <f t="shared" si="12"/>
        <v>5</v>
      </c>
      <c r="W95" s="25" t="str" cm="1">
        <f t="array" ref="W95">IF(OR(M95="NA",M95="NR",ISBLANK(M95)),M95,IFERROR(INDEX([2]Result!$C$7:$C$15,MATCH(1,(M95&gt;=[2]Result!$A$7:$A$15)*(M95&lt;=[2]Result!$B$7:$B$15),0)), "NA"))</f>
        <v>3C</v>
      </c>
    </row>
    <row r="96" spans="1:23" ht="15.75" x14ac:dyDescent="0.25">
      <c r="A96" s="40">
        <v>85</v>
      </c>
      <c r="B96" s="41">
        <v>50597</v>
      </c>
      <c r="C96" s="40" t="str">
        <f>'[2]Evalution 25'!B86</f>
        <v>Latifa Riyadh Abdullah Alshalhoub</v>
      </c>
      <c r="D96" s="42">
        <v>45823</v>
      </c>
      <c r="E96" s="40" t="str">
        <f>'[2]Evalution 25'!C86</f>
        <v>Riyadh</v>
      </c>
      <c r="F96" s="40" t="str">
        <f>'[2]Evalution 25'!E86</f>
        <v>Graphics Designer</v>
      </c>
      <c r="G96" s="40" t="str">
        <f>'[2]Evalution 25'!D86</f>
        <v>Marketing</v>
      </c>
      <c r="H96" s="40" t="s">
        <v>554</v>
      </c>
      <c r="I96" s="40" t="s">
        <v>554</v>
      </c>
      <c r="J96" s="40" t="str">
        <f t="shared" si="7"/>
        <v>NA</v>
      </c>
      <c r="K96" s="40" t="s">
        <v>554</v>
      </c>
      <c r="L96" s="40" t="s">
        <v>554</v>
      </c>
      <c r="M96" s="40" t="str">
        <f t="shared" si="8"/>
        <v>NA</v>
      </c>
      <c r="N96" s="40">
        <f>'[2]Evalution 25'!G86</f>
        <v>5</v>
      </c>
      <c r="O96" s="40">
        <f>'[2]Evalution 25'!H86</f>
        <v>5</v>
      </c>
      <c r="P96" s="40">
        <f t="shared" si="9"/>
        <v>5</v>
      </c>
      <c r="Q96" s="43">
        <f t="shared" si="13"/>
        <v>2.5</v>
      </c>
      <c r="R96" s="43" t="str">
        <f t="shared" si="10"/>
        <v>High</v>
      </c>
      <c r="S96" s="46" t="str">
        <f>IFERROR( _xlfn.XLOOKUP(Q96,[2]Result!$A$7:$A$15,[2]Result!$C$7:$C$15,"Out of range",-1),"N/A")</f>
        <v>2A</v>
      </c>
      <c r="T96" s="43" t="str">
        <f t="shared" si="11"/>
        <v>NA</v>
      </c>
      <c r="U96" s="25" t="str" cm="1">
        <f t="array" ref="U96">IF(OR(J96="NA",J96="NR",ISBLANK(J96)),J96,IFERROR(INDEX([2]Result!$C$7:$C$15,MATCH(1,(J96&gt;=[2]Result!$A$7:$A$15)*(J96&lt;=[2]Result!$B$7:$B$15),0)), "NA"))</f>
        <v>NA</v>
      </c>
      <c r="V96" s="25" t="str">
        <f t="shared" si="12"/>
        <v>NA</v>
      </c>
      <c r="W96" s="25" t="str" cm="1">
        <f t="array" ref="W96">IF(OR(M96="NA",M96="NR",ISBLANK(M96)),M96,IFERROR(INDEX([2]Result!$C$7:$C$15,MATCH(1,(M96&gt;=[2]Result!$A$7:$A$15)*(M96&lt;=[2]Result!$B$7:$B$15),0)), "NA"))</f>
        <v>NA</v>
      </c>
    </row>
    <row r="97" spans="1:23" ht="15.75" x14ac:dyDescent="0.25">
      <c r="A97" s="40">
        <v>86</v>
      </c>
      <c r="B97" s="41">
        <v>49442</v>
      </c>
      <c r="C97" s="40" t="str">
        <f>'[2]Evalution 25'!B87</f>
        <v>Laura Nizar Nayef Younes</v>
      </c>
      <c r="D97" s="42">
        <v>45481</v>
      </c>
      <c r="E97" s="40" t="str">
        <f>'[2]Evalution 25'!C87</f>
        <v>Dubai</v>
      </c>
      <c r="F97" s="40" t="str">
        <f>'[2]Evalution 25'!E87</f>
        <v>Client Growth Executive</v>
      </c>
      <c r="G97" s="40" t="str">
        <f>'[2]Evalution 25'!D87</f>
        <v>Client Growth</v>
      </c>
      <c r="H97" s="40" t="s">
        <v>554</v>
      </c>
      <c r="I97" s="40" t="s">
        <v>554</v>
      </c>
      <c r="J97" s="40" t="str">
        <f t="shared" si="7"/>
        <v>NA</v>
      </c>
      <c r="K97" s="40">
        <f>'[2]Evalutaion 24'!G72</f>
        <v>3.8</v>
      </c>
      <c r="L97" s="40">
        <f>'[2]Evalutaion 24'!H72</f>
        <v>3.8</v>
      </c>
      <c r="M97" s="40">
        <f t="shared" si="8"/>
        <v>3.8</v>
      </c>
      <c r="N97" s="40">
        <f>'[2]Evalution 25'!G87</f>
        <v>3.8</v>
      </c>
      <c r="O97" s="40">
        <f>'[2]Evalution 25'!H87</f>
        <v>4.2</v>
      </c>
      <c r="P97" s="40">
        <f t="shared" si="9"/>
        <v>4</v>
      </c>
      <c r="Q97" s="43">
        <f t="shared" si="13"/>
        <v>2.6</v>
      </c>
      <c r="R97" s="43" t="str">
        <f t="shared" si="10"/>
        <v>High</v>
      </c>
      <c r="S97" s="45" t="str">
        <f>IFERROR( _xlfn.XLOOKUP(Q97,[2]Result!$A$7:$A$15,[2]Result!$C$7:$C$15,"Out of range",-1),"N/A")</f>
        <v>2B</v>
      </c>
      <c r="T97" s="43" t="str">
        <f t="shared" si="11"/>
        <v>NA</v>
      </c>
      <c r="U97" s="25" t="str" cm="1">
        <f t="array" ref="U97">IF(OR(J97="NA",J97="NR",ISBLANK(J97)),J97,IFERROR(INDEX([2]Result!$C$7:$C$15,MATCH(1,(J97&gt;=[2]Result!$A$7:$A$15)*(J97&lt;=[2]Result!$B$7:$B$15),0)), "NA"))</f>
        <v>NA</v>
      </c>
      <c r="V97" s="25">
        <f t="shared" si="12"/>
        <v>3.8</v>
      </c>
      <c r="W97" s="25" t="str" cm="1">
        <f t="array" ref="W97">IF(OR(M97="NA",M97="NR",ISBLANK(M97)),M97,IFERROR(INDEX([2]Result!$C$7:$C$15,MATCH(1,(M97&gt;=[2]Result!$A$7:$A$15)*(M97&lt;=[2]Result!$B$7:$B$15),0)), "NA"))</f>
        <v>3A</v>
      </c>
    </row>
    <row r="98" spans="1:23" ht="15.75" x14ac:dyDescent="0.25">
      <c r="A98" s="40">
        <v>87</v>
      </c>
      <c r="B98" s="41">
        <v>10307</v>
      </c>
      <c r="C98" s="40" t="str">
        <f>'[2]Evalution 25'!B88</f>
        <v xml:space="preserve">Layal Takieddine </v>
      </c>
      <c r="D98" s="42">
        <v>44150</v>
      </c>
      <c r="E98" s="40" t="str">
        <f>'[2]Evalution 25'!C88</f>
        <v>Dubai</v>
      </c>
      <c r="F98" s="40" t="str">
        <f>'[2]Evalution 25'!E88</f>
        <v>Head of Marketing-MMS</v>
      </c>
      <c r="G98" s="40" t="str">
        <f>'[2]Evalution 25'!D88</f>
        <v>Marketing</v>
      </c>
      <c r="H98" s="40">
        <f>'[2]Evalutaion 23'!G56</f>
        <v>4.2</v>
      </c>
      <c r="I98" s="40">
        <f>'[2]Evalutaion 23'!H56</f>
        <v>3.7</v>
      </c>
      <c r="J98" s="40">
        <f t="shared" si="7"/>
        <v>3.95</v>
      </c>
      <c r="K98" s="40">
        <f>'[2]Evalutaion 24'!G73</f>
        <v>4</v>
      </c>
      <c r="L98" s="40">
        <f>'[2]Evalutaion 24'!H73</f>
        <v>0</v>
      </c>
      <c r="M98" s="40">
        <f t="shared" si="8"/>
        <v>2</v>
      </c>
      <c r="N98" s="40">
        <f>'[2]Evalution 25'!G88</f>
        <v>4.4000000000000004</v>
      </c>
      <c r="O98" s="40">
        <f>'[2]Evalution 25'!H88</f>
        <v>4.5</v>
      </c>
      <c r="P98" s="40">
        <f t="shared" si="9"/>
        <v>4.45</v>
      </c>
      <c r="Q98" s="43">
        <f t="shared" si="13"/>
        <v>2.6</v>
      </c>
      <c r="R98" s="43" t="str">
        <f t="shared" si="10"/>
        <v>High</v>
      </c>
      <c r="S98" s="45" t="str">
        <f>IFERROR( _xlfn.XLOOKUP(Q98,[2]Result!$A$7:$A$15,[2]Result!$C$7:$C$15,"Out of range",-1),"N/A")</f>
        <v>2B</v>
      </c>
      <c r="T98" s="43">
        <f t="shared" si="11"/>
        <v>3.95</v>
      </c>
      <c r="U98" s="25" t="str" cm="1">
        <f t="array" ref="U98">IF(OR(J98="NA",J98="NR",ISBLANK(J98)),J98,IFERROR(INDEX([2]Result!$C$7:$C$15,MATCH(1,(J98&gt;=[2]Result!$A$7:$A$15)*(J98&lt;=[2]Result!$B$7:$B$15),0)), "NA"))</f>
        <v>3A</v>
      </c>
      <c r="V98" s="25">
        <f t="shared" si="12"/>
        <v>2</v>
      </c>
      <c r="W98" s="25" t="str" cm="1">
        <f t="array" ref="W98">IF(OR(M98="NA",M98="NR",ISBLANK(M98)),M98,IFERROR(INDEX([2]Result!$C$7:$C$15,MATCH(1,(M98&gt;=[2]Result!$A$7:$A$15)*(M98&lt;=[2]Result!$B$7:$B$15),0)), "NA"))</f>
        <v>1C</v>
      </c>
    </row>
    <row r="99" spans="1:23" ht="15.75" x14ac:dyDescent="0.25">
      <c r="A99" s="40">
        <v>88</v>
      </c>
      <c r="B99" s="41">
        <v>50816</v>
      </c>
      <c r="C99" s="40" t="str">
        <f>'[2]Evalution 25'!B89</f>
        <v>Ahmed mohamed saadeldin gafaar</v>
      </c>
      <c r="D99" s="42">
        <v>45901</v>
      </c>
      <c r="E99" s="40" t="str">
        <f>'[2]Evalution 25'!C89</f>
        <v>Cairo</v>
      </c>
      <c r="F99" s="40" t="str">
        <f>'[2]Evalution 25'!E89</f>
        <v xml:space="preserve">Chief Accountant </v>
      </c>
      <c r="G99" s="40" t="str">
        <f>'[2]Evalution 25'!D89</f>
        <v>Finance</v>
      </c>
      <c r="H99" s="40" t="s">
        <v>554</v>
      </c>
      <c r="I99" s="40" t="s">
        <v>554</v>
      </c>
      <c r="J99" s="40" t="str">
        <f t="shared" si="7"/>
        <v>NA</v>
      </c>
      <c r="K99" s="40" t="s">
        <v>554</v>
      </c>
      <c r="L99" s="40" t="s">
        <v>554</v>
      </c>
      <c r="M99" s="40" t="str">
        <f t="shared" si="8"/>
        <v>NA</v>
      </c>
      <c r="N99" s="40">
        <f>'[2]Evalution 25'!G89</f>
        <v>3.8</v>
      </c>
      <c r="O99" s="40">
        <f>'[2]Evalution 25'!H89</f>
        <v>3.7</v>
      </c>
      <c r="P99" s="40">
        <f t="shared" si="9"/>
        <v>3.75</v>
      </c>
      <c r="Q99" s="43">
        <f t="shared" si="13"/>
        <v>1.875</v>
      </c>
      <c r="R99" s="43" t="str">
        <f t="shared" si="10"/>
        <v>Average</v>
      </c>
      <c r="S99" s="45" t="str">
        <f>IFERROR( _xlfn.XLOOKUP(Q99,[2]Result!$A$7:$A$15,[2]Result!$C$7:$C$15,"Out of range",-1),"N/A")</f>
        <v>1C</v>
      </c>
      <c r="T99" s="43" t="str">
        <f t="shared" si="11"/>
        <v>NA</v>
      </c>
      <c r="U99" s="25" t="str" cm="1">
        <f t="array" ref="U99">IF(OR(J99="NA",J99="NR",ISBLANK(J99)),J99,IFERROR(INDEX([2]Result!$C$7:$C$15,MATCH(1,(J99&gt;=[2]Result!$A$7:$A$15)*(J99&lt;=[2]Result!$B$7:$B$15),0)), "NA"))</f>
        <v>NA</v>
      </c>
      <c r="V99" s="25" t="str">
        <f t="shared" si="12"/>
        <v>NA</v>
      </c>
      <c r="W99" s="25" t="str" cm="1">
        <f t="array" ref="W99">IF(OR(M99="NA",M99="NR",ISBLANK(M99)),M99,IFERROR(INDEX([2]Result!$C$7:$C$15,MATCH(1,(M99&gt;=[2]Result!$A$7:$A$15)*(M99&lt;=[2]Result!$B$7:$B$15),0)), "NA"))</f>
        <v>NA</v>
      </c>
    </row>
    <row r="100" spans="1:23" ht="15.75" x14ac:dyDescent="0.25">
      <c r="A100" s="40">
        <v>89</v>
      </c>
      <c r="B100" s="41">
        <v>48189</v>
      </c>
      <c r="C100" s="40" t="str">
        <f>'[2]Evalution 25'!B90</f>
        <v>Leenah Hashim Almehdar</v>
      </c>
      <c r="D100" s="42">
        <v>45207</v>
      </c>
      <c r="E100" s="40" t="str">
        <f>'[2]Evalution 25'!C90</f>
        <v>Jeddah</v>
      </c>
      <c r="F100" s="40" t="str">
        <f>'[2]Evalution 25'!E90</f>
        <v>Client Growth Senior Manager</v>
      </c>
      <c r="G100" s="40" t="str">
        <f>'[2]Evalution 25'!D90</f>
        <v>Client Growth</v>
      </c>
      <c r="H100" s="40" t="s">
        <v>554</v>
      </c>
      <c r="I100" s="40" t="s">
        <v>554</v>
      </c>
      <c r="J100" s="40" t="str">
        <f t="shared" si="7"/>
        <v>NR</v>
      </c>
      <c r="K100" s="40">
        <f>'[2]Evalutaion 24'!G74</f>
        <v>3.8</v>
      </c>
      <c r="L100" s="40">
        <f>'[2]Evalutaion 24'!H74</f>
        <v>5</v>
      </c>
      <c r="M100" s="40">
        <f t="shared" si="8"/>
        <v>4.4000000000000004</v>
      </c>
      <c r="N100" s="40">
        <f>'[2]Evalution 25'!G90</f>
        <v>4.4000000000000004</v>
      </c>
      <c r="O100" s="40">
        <f>'[2]Evalution 25'!H90</f>
        <v>4.7</v>
      </c>
      <c r="P100" s="40">
        <f t="shared" si="9"/>
        <v>4.5500000000000007</v>
      </c>
      <c r="Q100" s="43">
        <f t="shared" si="13"/>
        <v>2.9833333333333338</v>
      </c>
      <c r="R100" s="43" t="str">
        <f t="shared" si="10"/>
        <v>High</v>
      </c>
      <c r="S100" s="48" t="str">
        <f>IFERROR( _xlfn.XLOOKUP(Q100,[2]Result!$A$7:$A$15,[2]Result!$C$7:$C$15,"Out of range",-1),"N/A")</f>
        <v>2B</v>
      </c>
      <c r="T100" s="43" t="str">
        <f t="shared" si="11"/>
        <v>NR</v>
      </c>
      <c r="U100" s="25" t="str" cm="1">
        <f t="array" ref="U100">IF(OR(J100="NA",J100="NR",ISBLANK(J100)),J100,IFERROR(INDEX([2]Result!$C$7:$C$15,MATCH(1,(J100&gt;=[2]Result!$A$7:$A$15)*(J100&lt;=[2]Result!$B$7:$B$15),0)), "NA"))</f>
        <v>NR</v>
      </c>
      <c r="V100" s="25">
        <f t="shared" si="12"/>
        <v>4.4000000000000004</v>
      </c>
      <c r="W100" s="25" t="str" cm="1">
        <f t="array" ref="W100">IF(OR(M100="NA",M100="NR",ISBLANK(M100)),M100,IFERROR(INDEX([2]Result!$C$7:$C$15,MATCH(1,(M100&gt;=[2]Result!$A$7:$A$15)*(M100&lt;=[2]Result!$B$7:$B$15),0)), "NA"))</f>
        <v>3B</v>
      </c>
    </row>
    <row r="101" spans="1:23" ht="15.75" x14ac:dyDescent="0.25">
      <c r="A101" s="40">
        <v>90</v>
      </c>
      <c r="B101" s="41">
        <v>47722</v>
      </c>
      <c r="C101" s="40" t="str">
        <f>'[2]Evalution 25'!B91</f>
        <v>Lobna Sherif Mahmoud Kamel Anis</v>
      </c>
      <c r="D101" s="42">
        <v>45078</v>
      </c>
      <c r="E101" s="40" t="str">
        <f>'[2]Evalution 25'!C91</f>
        <v>Cairo</v>
      </c>
      <c r="F101" s="40" t="str">
        <f>'[2]Evalution 25'!E91</f>
        <v>Sales Senior Manager</v>
      </c>
      <c r="G101" s="40" t="str">
        <f>'[2]Evalution 25'!D91</f>
        <v>Agency Partnerships</v>
      </c>
      <c r="H101" s="40">
        <f>'[2]Evalutaion 23'!G57</f>
        <v>3.3</v>
      </c>
      <c r="I101" s="40">
        <f>'[2]Evalutaion 23'!H57</f>
        <v>3.5</v>
      </c>
      <c r="J101" s="40">
        <f t="shared" si="7"/>
        <v>3.4</v>
      </c>
      <c r="K101" s="40">
        <f>'[2]Evalutaion 24'!G75</f>
        <v>3</v>
      </c>
      <c r="L101" s="40">
        <f>'[2]Evalutaion 24'!H75</f>
        <v>3.3</v>
      </c>
      <c r="M101" s="40">
        <f t="shared" si="8"/>
        <v>3.15</v>
      </c>
      <c r="N101" s="40">
        <f>'[2]Evalution 25'!G91</f>
        <v>3.5</v>
      </c>
      <c r="O101" s="40">
        <f>'[2]Evalution 25'!H91</f>
        <v>3.7</v>
      </c>
      <c r="P101" s="40">
        <f t="shared" si="9"/>
        <v>3.6</v>
      </c>
      <c r="Q101" s="43">
        <f t="shared" si="13"/>
        <v>2.5375000000000001</v>
      </c>
      <c r="R101" s="43" t="str">
        <f t="shared" si="10"/>
        <v>Average</v>
      </c>
      <c r="S101" s="44" t="str">
        <f>IFERROR( _xlfn.XLOOKUP(Q101,[2]Result!$A$7:$A$15,[2]Result!$C$7:$C$15,"Out of range",-1),"N/A")</f>
        <v>2A</v>
      </c>
      <c r="T101" s="43">
        <f t="shared" si="11"/>
        <v>3.4</v>
      </c>
      <c r="U101" s="25" t="str" cm="1">
        <f t="array" ref="U101">IF(OR(J101="NA",J101="NR",ISBLANK(J101)),J101,IFERROR(INDEX([2]Result!$C$7:$C$15,MATCH(1,(J101&gt;=[2]Result!$A$7:$A$15)*(J101&lt;=[2]Result!$B$7:$B$15),0)), "NA"))</f>
        <v>2C</v>
      </c>
      <c r="V101" s="25">
        <f t="shared" si="12"/>
        <v>3.15</v>
      </c>
      <c r="W101" s="25" t="str" cm="1">
        <f t="array" ref="W101">IF(OR(M101="NA",M101="NR",ISBLANK(M101)),M101,IFERROR(INDEX([2]Result!$C$7:$C$15,MATCH(1,(M101&gt;=[2]Result!$A$7:$A$15)*(M101&lt;=[2]Result!$B$7:$B$15),0)), "NA"))</f>
        <v>2C</v>
      </c>
    </row>
    <row r="102" spans="1:23" ht="15.75" x14ac:dyDescent="0.25">
      <c r="A102" s="40">
        <v>91</v>
      </c>
      <c r="B102" s="41">
        <v>6573</v>
      </c>
      <c r="C102" s="40" t="str">
        <f>'[2]Evalution 25'!B92</f>
        <v>Mahmoud Ibrahim Mohamed Elkholy</v>
      </c>
      <c r="D102" s="42">
        <v>44293</v>
      </c>
      <c r="E102" s="40" t="str">
        <f>'[2]Evalution 25'!C92</f>
        <v>Cairo</v>
      </c>
      <c r="F102" s="40" t="str">
        <f>'[2]Evalution 25'!E92</f>
        <v>Client Service Senior Supervisor</v>
      </c>
      <c r="G102" s="40" t="str">
        <f>'[2]Evalution 25'!D92</f>
        <v>Agency Partnerships</v>
      </c>
      <c r="H102" s="40" t="s">
        <v>554</v>
      </c>
      <c r="I102" s="40" t="s">
        <v>554</v>
      </c>
      <c r="J102" s="40" t="str">
        <f t="shared" si="7"/>
        <v>NR</v>
      </c>
      <c r="K102" s="40">
        <f>'[2]Evalutaion 24'!G76</f>
        <v>3.8</v>
      </c>
      <c r="L102" s="40">
        <f>'[2]Evalutaion 24'!H76</f>
        <v>3.8</v>
      </c>
      <c r="M102" s="40">
        <f t="shared" si="8"/>
        <v>3.8</v>
      </c>
      <c r="N102" s="40">
        <f>'[2]Evalution 25'!G92</f>
        <v>3.8</v>
      </c>
      <c r="O102" s="40">
        <f>'[2]Evalution 25'!H92</f>
        <v>3.7</v>
      </c>
      <c r="P102" s="40">
        <f t="shared" si="9"/>
        <v>3.75</v>
      </c>
      <c r="Q102" s="43">
        <f t="shared" si="13"/>
        <v>2.5166666666666666</v>
      </c>
      <c r="R102" s="43" t="str">
        <f t="shared" si="10"/>
        <v>Average</v>
      </c>
      <c r="S102" s="45" t="str">
        <f>IFERROR( _xlfn.XLOOKUP(Q102,[2]Result!$A$7:$A$15,[2]Result!$C$7:$C$15,"Out of range",-1),"N/A")</f>
        <v>2A</v>
      </c>
      <c r="T102" s="43" t="str">
        <f t="shared" si="11"/>
        <v>NR</v>
      </c>
      <c r="U102" s="25" t="str" cm="1">
        <f t="array" ref="U102">IF(OR(J102="NA",J102="NR",ISBLANK(J102)),J102,IFERROR(INDEX([2]Result!$C$7:$C$15,MATCH(1,(J102&gt;=[2]Result!$A$7:$A$15)*(J102&lt;=[2]Result!$B$7:$B$15),0)), "NA"))</f>
        <v>NR</v>
      </c>
      <c r="V102" s="25">
        <f t="shared" si="12"/>
        <v>3.8</v>
      </c>
      <c r="W102" s="25" t="str" cm="1">
        <f t="array" ref="W102">IF(OR(M102="NA",M102="NR",ISBLANK(M102)),M102,IFERROR(INDEX([2]Result!$C$7:$C$15,MATCH(1,(M102&gt;=[2]Result!$A$7:$A$15)*(M102&lt;=[2]Result!$B$7:$B$15),0)), "NA"))</f>
        <v>3A</v>
      </c>
    </row>
    <row r="103" spans="1:23" ht="15.75" x14ac:dyDescent="0.25">
      <c r="A103" s="40">
        <v>92</v>
      </c>
      <c r="B103" s="41">
        <v>6549</v>
      </c>
      <c r="C103" s="40" t="str">
        <f>'[2]Evalution 25'!B93</f>
        <v>Mahmoud Mohamed Mahmoud Gomaa</v>
      </c>
      <c r="D103" s="42">
        <v>44186</v>
      </c>
      <c r="E103" s="40" t="str">
        <f>'[2]Evalution 25'!C93</f>
        <v>Cairo</v>
      </c>
      <c r="F103" s="40" t="str">
        <f>'[2]Evalution 25'!E93</f>
        <v>Associate Director</v>
      </c>
      <c r="G103" s="40" t="str">
        <f>'[2]Evalution 25'!D93</f>
        <v>Agency Partnerships</v>
      </c>
      <c r="H103" s="40">
        <f>'[2]Evalutaion 23'!G59</f>
        <v>4</v>
      </c>
      <c r="I103" s="40">
        <f>'[2]Evalutaion 23'!H59</f>
        <v>4.3</v>
      </c>
      <c r="J103" s="40">
        <f t="shared" si="7"/>
        <v>4.1500000000000004</v>
      </c>
      <c r="K103" s="40">
        <f>'[2]Evalutaion 24'!G77</f>
        <v>3.9</v>
      </c>
      <c r="L103" s="40">
        <f>'[2]Evalutaion 24'!H77</f>
        <v>3.7</v>
      </c>
      <c r="M103" s="40">
        <f t="shared" si="8"/>
        <v>3.8</v>
      </c>
      <c r="N103" s="40">
        <f>'[2]Evalution 25'!G93</f>
        <v>4.2</v>
      </c>
      <c r="O103" s="40">
        <f>'[2]Evalution 25'!H93</f>
        <v>4</v>
      </c>
      <c r="P103" s="40">
        <f t="shared" si="9"/>
        <v>4.0999999999999996</v>
      </c>
      <c r="Q103" s="43">
        <f t="shared" si="13"/>
        <v>3.0125000000000002</v>
      </c>
      <c r="R103" s="43" t="str">
        <f t="shared" si="10"/>
        <v>High</v>
      </c>
      <c r="S103" s="45" t="str">
        <f>IFERROR( _xlfn.XLOOKUP(Q103,[2]Result!$A$7:$A$15,[2]Result!$C$7:$C$15,"Out of range",-1),"N/A")</f>
        <v>2B</v>
      </c>
      <c r="T103" s="43">
        <f t="shared" si="11"/>
        <v>4.1500000000000004</v>
      </c>
      <c r="U103" s="25" t="str" cm="1">
        <f t="array" ref="U103">IF(OR(J103="NA",J103="NR",ISBLANK(J103)),J103,IFERROR(INDEX([2]Result!$C$7:$C$15,MATCH(1,(J103&gt;=[2]Result!$A$7:$A$15)*(J103&lt;=[2]Result!$B$7:$B$15),0)), "NA"))</f>
        <v>3B</v>
      </c>
      <c r="V103" s="25">
        <f t="shared" si="12"/>
        <v>3.8</v>
      </c>
      <c r="W103" s="25" t="str" cm="1">
        <f t="array" ref="W103">IF(OR(M103="NA",M103="NR",ISBLANK(M103)),M103,IFERROR(INDEX([2]Result!$C$7:$C$15,MATCH(1,(M103&gt;=[2]Result!$A$7:$A$15)*(M103&lt;=[2]Result!$B$7:$B$15),0)), "NA"))</f>
        <v>3A</v>
      </c>
    </row>
    <row r="104" spans="1:23" ht="15.75" x14ac:dyDescent="0.25">
      <c r="A104" s="40">
        <v>93</v>
      </c>
      <c r="B104" s="41">
        <v>31250</v>
      </c>
      <c r="C104" s="40" t="str">
        <f>'[2]Evalution 25'!B94</f>
        <v>Ahmed Awny Hamza El Kalaf</v>
      </c>
      <c r="D104" s="42">
        <v>44369</v>
      </c>
      <c r="E104" s="40" t="str">
        <f>'[2]Evalution 25'!C94</f>
        <v>Cairo</v>
      </c>
      <c r="F104" s="40" t="str">
        <f>'[2]Evalution 25'!E94</f>
        <v>Senior Finance Manager</v>
      </c>
      <c r="G104" s="40" t="str">
        <f>'[2]Evalution 25'!D94</f>
        <v>Finance</v>
      </c>
      <c r="H104" s="40">
        <f>'[2]Evalutaion 23'!G60</f>
        <v>3.3</v>
      </c>
      <c r="I104" s="40">
        <f>'[2]Evalutaion 23'!H60</f>
        <v>3.3</v>
      </c>
      <c r="J104" s="40">
        <f t="shared" si="7"/>
        <v>3.3</v>
      </c>
      <c r="K104" s="40">
        <f>'[2]Evalutaion 24'!G78</f>
        <v>3.4</v>
      </c>
      <c r="L104" s="40">
        <f>'[2]Evalutaion 24'!H78</f>
        <v>3.8</v>
      </c>
      <c r="M104" s="40">
        <f t="shared" si="8"/>
        <v>3.5999999999999996</v>
      </c>
      <c r="N104" s="40">
        <f>'[2]Evalution 25'!G94</f>
        <v>3.8</v>
      </c>
      <c r="O104" s="40">
        <f>'[2]Evalution 25'!H94</f>
        <v>3.2</v>
      </c>
      <c r="P104" s="40">
        <f t="shared" si="9"/>
        <v>3.5</v>
      </c>
      <c r="Q104" s="43">
        <f t="shared" si="13"/>
        <v>2.5999999999999996</v>
      </c>
      <c r="R104" s="43" t="str">
        <f t="shared" si="10"/>
        <v>Average</v>
      </c>
      <c r="S104" s="44" t="str">
        <f>IFERROR( _xlfn.XLOOKUP(Q104,[2]Result!$A$7:$A$15,[2]Result!$C$7:$C$15,"Out of range",-1),"N/A")</f>
        <v>2A</v>
      </c>
      <c r="T104" s="43">
        <f t="shared" si="11"/>
        <v>3.3</v>
      </c>
      <c r="U104" s="25" t="str" cm="1">
        <f t="array" ref="U104">IF(OR(J104="NA",J104="NR",ISBLANK(J104)),J104,IFERROR(INDEX([2]Result!$C$7:$C$15,MATCH(1,(J104&gt;=[2]Result!$A$7:$A$15)*(J104&lt;=[2]Result!$B$7:$B$15),0)), "NA"))</f>
        <v>2C</v>
      </c>
      <c r="V104" s="25">
        <f t="shared" si="12"/>
        <v>3.5999999999999996</v>
      </c>
      <c r="W104" s="25" t="str" cm="1">
        <f t="array" ref="W104">IF(OR(M104="NA",M104="NR",ISBLANK(M104)),M104,IFERROR(INDEX([2]Result!$C$7:$C$15,MATCH(1,(M104&gt;=[2]Result!$A$7:$A$15)*(M104&lt;=[2]Result!$B$7:$B$15),0)), "NA"))</f>
        <v>3A</v>
      </c>
    </row>
    <row r="105" spans="1:23" ht="15.75" x14ac:dyDescent="0.25">
      <c r="A105" s="40">
        <v>94</v>
      </c>
      <c r="B105" s="41">
        <v>10869</v>
      </c>
      <c r="C105" s="40" t="str">
        <f>'[2]Evalution 25'!B95</f>
        <v>Maria Elena   Garcia</v>
      </c>
      <c r="D105" s="42">
        <v>44623</v>
      </c>
      <c r="E105" s="40" t="str">
        <f>'[2]Evalution 25'!C95</f>
        <v>Dubai</v>
      </c>
      <c r="F105" s="40" t="str">
        <f>'[2]Evalution 25'!E95</f>
        <v>Senior Traffic Operations</v>
      </c>
      <c r="G105" s="40" t="str">
        <f>'[2]Evalution 25'!D95</f>
        <v>Traffic</v>
      </c>
      <c r="H105" s="40">
        <f>'[2]Evalutaion 23'!G61</f>
        <v>4.7</v>
      </c>
      <c r="I105" s="40">
        <f>'[2]Evalutaion 23'!H61</f>
        <v>4.7</v>
      </c>
      <c r="J105" s="40">
        <f t="shared" si="7"/>
        <v>4.7</v>
      </c>
      <c r="K105" s="40">
        <f>'[2]Evalutaion 24'!G79</f>
        <v>4.2</v>
      </c>
      <c r="L105" s="40">
        <f>'[2]Evalutaion 24'!H79</f>
        <v>4.7</v>
      </c>
      <c r="M105" s="40">
        <f t="shared" si="8"/>
        <v>4.45</v>
      </c>
      <c r="N105" s="40">
        <f>'[2]Evalution 25'!G95</f>
        <v>4</v>
      </c>
      <c r="O105" s="40">
        <f>'[2]Evalution 25'!H95</f>
        <v>4</v>
      </c>
      <c r="P105" s="40">
        <f t="shared" si="9"/>
        <v>4</v>
      </c>
      <c r="Q105" s="43">
        <f t="shared" si="13"/>
        <v>3.2875000000000001</v>
      </c>
      <c r="R105" s="43" t="str">
        <f t="shared" si="10"/>
        <v>High</v>
      </c>
      <c r="S105" s="44" t="str">
        <f>IFERROR( _xlfn.XLOOKUP(Q105,[2]Result!$A$7:$A$15,[2]Result!$C$7:$C$15,"Out of range",-1),"N/A")</f>
        <v>2C</v>
      </c>
      <c r="T105" s="43">
        <f t="shared" si="11"/>
        <v>4.7</v>
      </c>
      <c r="U105" s="25" t="str" cm="1">
        <f t="array" ref="U105">IF(OR(J105="NA",J105="NR",ISBLANK(J105)),J105,IFERROR(INDEX([2]Result!$C$7:$C$15,MATCH(1,(J105&gt;=[2]Result!$A$7:$A$15)*(J105&lt;=[2]Result!$B$7:$B$15),0)), "NA"))</f>
        <v>3C</v>
      </c>
      <c r="V105" s="25">
        <f t="shared" si="12"/>
        <v>4.45</v>
      </c>
      <c r="W105" s="25" t="str" cm="1">
        <f t="array" ref="W105">IF(OR(M105="NA",M105="NR",ISBLANK(M105)),M105,IFERROR(INDEX([2]Result!$C$7:$C$15,MATCH(1,(M105&gt;=[2]Result!$A$7:$A$15)*(M105&lt;=[2]Result!$B$7:$B$15),0)), "NA"))</f>
        <v>3B</v>
      </c>
    </row>
    <row r="106" spans="1:23" ht="15.75" x14ac:dyDescent="0.25">
      <c r="A106" s="40">
        <v>95</v>
      </c>
      <c r="B106" s="41">
        <v>10833</v>
      </c>
      <c r="C106" s="40" t="str">
        <f>'[2]Evalution 25'!B96</f>
        <v xml:space="preserve">Marie  Fe Sudio </v>
      </c>
      <c r="D106" s="42">
        <v>44249</v>
      </c>
      <c r="E106" s="40" t="str">
        <f>'[2]Evalution 25'!C96</f>
        <v>Dubai</v>
      </c>
      <c r="F106" s="40" t="str">
        <f>'[2]Evalution 25'!E96</f>
        <v>Senior Traffic Executive</v>
      </c>
      <c r="G106" s="40" t="str">
        <f>'[2]Evalution 25'!D96</f>
        <v>Traffic</v>
      </c>
      <c r="H106" s="40">
        <f>'[2]Evalutaion 23'!G62</f>
        <v>4.3</v>
      </c>
      <c r="I106" s="40">
        <f>'[2]Evalutaion 23'!H62</f>
        <v>4.7</v>
      </c>
      <c r="J106" s="40">
        <f t="shared" si="7"/>
        <v>4.5</v>
      </c>
      <c r="K106" s="40">
        <f>'[2]Evalutaion 24'!G80</f>
        <v>4.3</v>
      </c>
      <c r="L106" s="40">
        <f>'[2]Evalutaion 24'!H80</f>
        <v>4.3</v>
      </c>
      <c r="M106" s="40">
        <f t="shared" si="8"/>
        <v>4.3</v>
      </c>
      <c r="N106" s="40">
        <f>'[2]Evalution 25'!G96</f>
        <v>4.5</v>
      </c>
      <c r="O106" s="40">
        <f>'[2]Evalution 25'!H96</f>
        <v>4.3</v>
      </c>
      <c r="P106" s="40">
        <f t="shared" si="9"/>
        <v>4.4000000000000004</v>
      </c>
      <c r="Q106" s="43">
        <f t="shared" si="13"/>
        <v>3.3000000000000003</v>
      </c>
      <c r="R106" s="43" t="str">
        <f t="shared" si="10"/>
        <v>High</v>
      </c>
      <c r="S106" s="44" t="str">
        <f>IFERROR( _xlfn.XLOOKUP(Q106,[2]Result!$A$7:$A$15,[2]Result!$C$7:$C$15,"Out of range",-1),"N/A")</f>
        <v>2C</v>
      </c>
      <c r="T106" s="43">
        <f t="shared" si="11"/>
        <v>4.5</v>
      </c>
      <c r="U106" s="25" t="str" cm="1">
        <f t="array" ref="U106">IF(OR(J106="NA",J106="NR",ISBLANK(J106)),J106,IFERROR(INDEX([2]Result!$C$7:$C$15,MATCH(1,(J106&gt;=[2]Result!$A$7:$A$15)*(J106&lt;=[2]Result!$B$7:$B$15),0)), "NA"))</f>
        <v>3B</v>
      </c>
      <c r="V106" s="25">
        <f t="shared" si="12"/>
        <v>4.3</v>
      </c>
      <c r="W106" s="25" t="str" cm="1">
        <f t="array" ref="W106">IF(OR(M106="NA",M106="NR",ISBLANK(M106)),M106,IFERROR(INDEX([2]Result!$C$7:$C$15,MATCH(1,(M106&gt;=[2]Result!$A$7:$A$15)*(M106&lt;=[2]Result!$B$7:$B$15),0)), "NA"))</f>
        <v>3B</v>
      </c>
    </row>
    <row r="107" spans="1:23" ht="15.75" x14ac:dyDescent="0.25">
      <c r="A107" s="40">
        <v>96</v>
      </c>
      <c r="B107" s="41">
        <v>10839</v>
      </c>
      <c r="C107" s="40" t="str">
        <f>'[2]Evalution 25'!B97</f>
        <v>Mariel Blanca Roxas</v>
      </c>
      <c r="D107" s="42">
        <v>44272</v>
      </c>
      <c r="E107" s="40" t="str">
        <f>'[2]Evalution 25'!C97</f>
        <v>Dubai</v>
      </c>
      <c r="F107" s="40" t="str">
        <f>'[2]Evalution 25'!E97</f>
        <v>Senior Traffic Executive</v>
      </c>
      <c r="G107" s="40" t="str">
        <f>'[2]Evalution 25'!D97</f>
        <v>Traffic</v>
      </c>
      <c r="H107" s="40">
        <f>'[2]Evalutaion 23'!G63</f>
        <v>4.2</v>
      </c>
      <c r="I107" s="40">
        <f>'[2]Evalutaion 23'!H63</f>
        <v>4.2</v>
      </c>
      <c r="J107" s="40">
        <f t="shared" si="7"/>
        <v>4.2</v>
      </c>
      <c r="K107" s="40">
        <f>'[2]Evalutaion 24'!G81</f>
        <v>4.3</v>
      </c>
      <c r="L107" s="40">
        <f>'[2]Evalutaion 24'!H81</f>
        <v>4.2</v>
      </c>
      <c r="M107" s="40">
        <f t="shared" si="8"/>
        <v>4.25</v>
      </c>
      <c r="N107" s="40">
        <f>'[2]Evalution 25'!G97</f>
        <v>4.5</v>
      </c>
      <c r="O107" s="40">
        <f>'[2]Evalution 25'!H97</f>
        <v>4.3</v>
      </c>
      <c r="P107" s="40">
        <f t="shared" si="9"/>
        <v>4.4000000000000004</v>
      </c>
      <c r="Q107" s="43">
        <f t="shared" si="13"/>
        <v>3.2124999999999999</v>
      </c>
      <c r="R107" s="43" t="str">
        <f t="shared" si="10"/>
        <v>High</v>
      </c>
      <c r="S107" s="44" t="str">
        <f>IFERROR( _xlfn.XLOOKUP(Q107,[2]Result!$A$7:$A$15,[2]Result!$C$7:$C$15,"Out of range",-1),"N/A")</f>
        <v>2C</v>
      </c>
      <c r="T107" s="43">
        <f t="shared" si="11"/>
        <v>4.2</v>
      </c>
      <c r="U107" s="25" t="str" cm="1">
        <f t="array" ref="U107">IF(OR(J107="NA",J107="NR",ISBLANK(J107)),J107,IFERROR(INDEX([2]Result!$C$7:$C$15,MATCH(1,(J107&gt;=[2]Result!$A$7:$A$15)*(J107&lt;=[2]Result!$B$7:$B$15),0)), "NA"))</f>
        <v>3B</v>
      </c>
      <c r="V107" s="25">
        <f t="shared" si="12"/>
        <v>4.25</v>
      </c>
      <c r="W107" s="25" t="str" cm="1">
        <f t="array" ref="W107">IF(OR(M107="NA",M107="NR",ISBLANK(M107)),M107,IFERROR(INDEX([2]Result!$C$7:$C$15,MATCH(1,(M107&gt;=[2]Result!$A$7:$A$15)*(M107&lt;=[2]Result!$B$7:$B$15),0)), "NA"))</f>
        <v>3B</v>
      </c>
    </row>
    <row r="108" spans="1:23" ht="15.75" x14ac:dyDescent="0.25">
      <c r="A108" s="40">
        <v>97</v>
      </c>
      <c r="B108" s="41">
        <v>10317</v>
      </c>
      <c r="C108" s="40" t="str">
        <f>'[2]Evalution 25'!B98</f>
        <v>Marlyn Calderon</v>
      </c>
      <c r="D108" s="42">
        <v>44188</v>
      </c>
      <c r="E108" s="40" t="str">
        <f>'[2]Evalution 25'!C98</f>
        <v>Dubai</v>
      </c>
      <c r="F108" s="40" t="str">
        <f>'[2]Evalution 25'!E98</f>
        <v>Traffic Executive - Digital</v>
      </c>
      <c r="G108" s="40" t="str">
        <f>'[2]Evalution 25'!D98</f>
        <v>Traffic</v>
      </c>
      <c r="H108" s="40">
        <f>'[2]Evalutaion 23'!G64</f>
        <v>2.1</v>
      </c>
      <c r="I108" s="40">
        <f>'[2]Evalutaion 23'!H64</f>
        <v>2.2999999999999998</v>
      </c>
      <c r="J108" s="40">
        <f t="shared" si="7"/>
        <v>2.2000000000000002</v>
      </c>
      <c r="K108" s="40">
        <f>'[2]Evalutaion 24'!G82</f>
        <v>3.2</v>
      </c>
      <c r="L108" s="40">
        <f>'[2]Evalutaion 24'!H82</f>
        <v>3.5</v>
      </c>
      <c r="M108" s="40">
        <f t="shared" si="8"/>
        <v>3.35</v>
      </c>
      <c r="N108" s="40">
        <f>'[2]Evalution 25'!G98</f>
        <v>4.4000000000000004</v>
      </c>
      <c r="O108" s="40">
        <f>'[2]Evalution 25'!H98</f>
        <v>4.5</v>
      </c>
      <c r="P108" s="40">
        <f t="shared" si="9"/>
        <v>4.45</v>
      </c>
      <c r="Q108" s="43">
        <f t="shared" si="13"/>
        <v>2.5</v>
      </c>
      <c r="R108" s="43" t="str">
        <f t="shared" si="10"/>
        <v>High</v>
      </c>
      <c r="S108" s="44" t="str">
        <f>IFERROR( _xlfn.XLOOKUP(Q108,[2]Result!$A$7:$A$15,[2]Result!$C$7:$C$15,"Out of range",-1),"N/A")</f>
        <v>2A</v>
      </c>
      <c r="T108" s="43">
        <f t="shared" si="11"/>
        <v>2.2000000000000002</v>
      </c>
      <c r="U108" s="25" t="str" cm="1">
        <f t="array" ref="U108">IF(OR(J108="NA",J108="NR",ISBLANK(J108)),J108,IFERROR(INDEX([2]Result!$C$7:$C$15,MATCH(1,(J108&gt;=[2]Result!$A$7:$A$15)*(J108&lt;=[2]Result!$B$7:$B$15),0)), "NA"))</f>
        <v>2A</v>
      </c>
      <c r="V108" s="25">
        <f t="shared" si="12"/>
        <v>3.35</v>
      </c>
      <c r="W108" s="25" t="str" cm="1">
        <f t="array" ref="W108">IF(OR(M108="NA",M108="NR",ISBLANK(M108)),M108,IFERROR(INDEX([2]Result!$C$7:$C$15,MATCH(1,(M108&gt;=[2]Result!$A$7:$A$15)*(M108&lt;=[2]Result!$B$7:$B$15),0)), "NA"))</f>
        <v>2C</v>
      </c>
    </row>
    <row r="109" spans="1:23" ht="15.75" x14ac:dyDescent="0.25">
      <c r="A109" s="40">
        <v>98</v>
      </c>
      <c r="B109" s="41">
        <v>47721</v>
      </c>
      <c r="C109" s="40" t="str">
        <f>'[2]Evalution 25'!B99</f>
        <v>Marwa Sayed Abdelhalim Abdelfatah Elsherbiny</v>
      </c>
      <c r="D109" s="42">
        <v>45078</v>
      </c>
      <c r="E109" s="40" t="str">
        <f>'[2]Evalution 25'!C99</f>
        <v>Cairo</v>
      </c>
      <c r="F109" s="40" t="str">
        <f>'[2]Evalution 25'!E99</f>
        <v>Client Service Manager</v>
      </c>
      <c r="G109" s="40" t="str">
        <f>'[2]Evalution 25'!D99</f>
        <v>Agency Partnerships</v>
      </c>
      <c r="H109" s="40" t="s">
        <v>554</v>
      </c>
      <c r="I109" s="40" t="s">
        <v>554</v>
      </c>
      <c r="J109" s="40" t="str">
        <f t="shared" si="7"/>
        <v>NR</v>
      </c>
      <c r="K109" s="40">
        <f>'[2]Evalutaion 24'!G83</f>
        <v>4</v>
      </c>
      <c r="L109" s="40">
        <f>'[2]Evalutaion 24'!H83</f>
        <v>3.8</v>
      </c>
      <c r="M109" s="40">
        <f t="shared" si="8"/>
        <v>3.9</v>
      </c>
      <c r="N109" s="40">
        <f>'[2]Evalution 25'!G99</f>
        <v>4</v>
      </c>
      <c r="O109" s="40">
        <f>'[2]Evalution 25'!H99</f>
        <v>3.5</v>
      </c>
      <c r="P109" s="40">
        <f t="shared" si="9"/>
        <v>3.75</v>
      </c>
      <c r="Q109" s="43">
        <f t="shared" si="13"/>
        <v>2.5500000000000003</v>
      </c>
      <c r="R109" s="43" t="str">
        <f t="shared" si="10"/>
        <v>Average</v>
      </c>
      <c r="S109" s="45" t="str">
        <f>IFERROR( _xlfn.XLOOKUP(Q109,[2]Result!$A$7:$A$15,[2]Result!$C$7:$C$15,"Out of range",-1),"N/A")</f>
        <v>2A</v>
      </c>
      <c r="T109" s="43" t="str">
        <f t="shared" si="11"/>
        <v>NR</v>
      </c>
      <c r="U109" s="25" t="str" cm="1">
        <f t="array" ref="U109">IF(OR(J109="NA",J109="NR",ISBLANK(J109)),J109,IFERROR(INDEX([2]Result!$C$7:$C$15,MATCH(1,(J109&gt;=[2]Result!$A$7:$A$15)*(J109&lt;=[2]Result!$B$7:$B$15),0)), "NA"))</f>
        <v>NR</v>
      </c>
      <c r="V109" s="25">
        <f t="shared" si="12"/>
        <v>3.9</v>
      </c>
      <c r="W109" s="25" t="str" cm="1">
        <f t="array" ref="W109">IF(OR(M109="NA",M109="NR",ISBLANK(M109)),M109,IFERROR(INDEX([2]Result!$C$7:$C$15,MATCH(1,(M109&gt;=[2]Result!$A$7:$A$15)*(M109&lt;=[2]Result!$B$7:$B$15),0)), "NA"))</f>
        <v>3A</v>
      </c>
    </row>
    <row r="110" spans="1:23" ht="15.75" x14ac:dyDescent="0.25">
      <c r="A110" s="40">
        <v>99</v>
      </c>
      <c r="B110" s="41">
        <v>48063</v>
      </c>
      <c r="C110" s="40" t="str">
        <f>'[2]Evalution 25'!B100</f>
        <v>Marwan Mohamed Albasous</v>
      </c>
      <c r="D110" s="42">
        <v>45200</v>
      </c>
      <c r="E110" s="40" t="str">
        <f>'[2]Evalution 25'!C100</f>
        <v>Riyadh</v>
      </c>
      <c r="F110" s="40" t="str">
        <f>'[2]Evalution 25'!E100</f>
        <v>Audio Growth Senior Executive</v>
      </c>
      <c r="G110" s="40" t="str">
        <f>'[2]Evalution 25'!D100</f>
        <v>Client Growth</v>
      </c>
      <c r="H110" s="40" t="s">
        <v>554</v>
      </c>
      <c r="I110" s="40" t="s">
        <v>554</v>
      </c>
      <c r="J110" s="40" t="str">
        <f t="shared" si="7"/>
        <v>NR</v>
      </c>
      <c r="K110" s="40">
        <f>'[2]Evalutaion 24'!G84</f>
        <v>4.7</v>
      </c>
      <c r="L110" s="40">
        <f>'[2]Evalutaion 24'!H84</f>
        <v>4</v>
      </c>
      <c r="M110" s="40">
        <f t="shared" si="8"/>
        <v>4.3499999999999996</v>
      </c>
      <c r="N110" s="40">
        <f>'[2]Evalution 25'!G100</f>
        <v>4.5</v>
      </c>
      <c r="O110" s="40">
        <f>'[2]Evalution 25'!H100</f>
        <v>4</v>
      </c>
      <c r="P110" s="40">
        <f t="shared" si="9"/>
        <v>4.25</v>
      </c>
      <c r="Q110" s="43">
        <f t="shared" si="13"/>
        <v>2.8666666666666667</v>
      </c>
      <c r="R110" s="43" t="str">
        <f t="shared" si="10"/>
        <v>High</v>
      </c>
      <c r="S110" s="44" t="str">
        <f>IFERROR( _xlfn.XLOOKUP(Q110,[2]Result!$A$7:$A$15,[2]Result!$C$7:$C$15,"Out of range",-1),"N/A")</f>
        <v>2B</v>
      </c>
      <c r="T110" s="43" t="str">
        <f t="shared" si="11"/>
        <v>NR</v>
      </c>
      <c r="U110" s="25" t="str" cm="1">
        <f t="array" ref="U110">IF(OR(J110="NA",J110="NR",ISBLANK(J110)),J110,IFERROR(INDEX([2]Result!$C$7:$C$15,MATCH(1,(J110&gt;=[2]Result!$A$7:$A$15)*(J110&lt;=[2]Result!$B$7:$B$15),0)), "NA"))</f>
        <v>NR</v>
      </c>
      <c r="V110" s="25">
        <f t="shared" si="12"/>
        <v>4.3499999999999996</v>
      </c>
      <c r="W110" s="25" t="str" cm="1">
        <f t="array" ref="W110">IF(OR(M110="NA",M110="NR",ISBLANK(M110)),M110,IFERROR(INDEX([2]Result!$C$7:$C$15,MATCH(1,(M110&gt;=[2]Result!$A$7:$A$15)*(M110&lt;=[2]Result!$B$7:$B$15),0)), "NA"))</f>
        <v>3B</v>
      </c>
    </row>
    <row r="111" spans="1:23" ht="15.75" x14ac:dyDescent="0.25">
      <c r="A111" s="40">
        <v>100</v>
      </c>
      <c r="B111" s="41">
        <v>50171</v>
      </c>
      <c r="C111" s="40" t="str">
        <f>'[2]Evalution 25'!B101</f>
        <v>Mashail Osama Albliwi</v>
      </c>
      <c r="D111" s="42">
        <v>45676</v>
      </c>
      <c r="E111" s="40" t="str">
        <f>'[2]Evalution 25'!C101</f>
        <v>Riyadh</v>
      </c>
      <c r="F111" s="40" t="str">
        <f>'[2]Evalution 25'!E101</f>
        <v>Content Solutions Senior Executive</v>
      </c>
      <c r="G111" s="40" t="str">
        <f>'[2]Evalution 25'!D101</f>
        <v>Content Solutions</v>
      </c>
      <c r="H111" s="40" t="s">
        <v>554</v>
      </c>
      <c r="I111" s="40" t="s">
        <v>554</v>
      </c>
      <c r="J111" s="40" t="str">
        <f t="shared" si="7"/>
        <v>NA</v>
      </c>
      <c r="K111" s="40" t="s">
        <v>554</v>
      </c>
      <c r="L111" s="40" t="s">
        <v>554</v>
      </c>
      <c r="M111" s="40" t="str">
        <f t="shared" si="8"/>
        <v>NA</v>
      </c>
      <c r="N111" s="40">
        <f>'[2]Evalution 25'!G101</f>
        <v>3.8</v>
      </c>
      <c r="O111" s="40">
        <f>'[2]Evalution 25'!H101</f>
        <v>4.5</v>
      </c>
      <c r="P111" s="40">
        <f t="shared" si="9"/>
        <v>4.1500000000000004</v>
      </c>
      <c r="Q111" s="43">
        <f t="shared" si="13"/>
        <v>2.0750000000000002</v>
      </c>
      <c r="R111" s="43" t="str">
        <f t="shared" si="10"/>
        <v>High</v>
      </c>
      <c r="S111" s="44" t="str">
        <f>IFERROR( _xlfn.XLOOKUP(Q111,[2]Result!$A$7:$A$15,[2]Result!$C$7:$C$15,"Out of range",-1),"N/A")</f>
        <v>1C</v>
      </c>
      <c r="T111" s="43" t="str">
        <f t="shared" si="11"/>
        <v>NA</v>
      </c>
      <c r="U111" s="25" t="str" cm="1">
        <f t="array" ref="U111">IF(OR(J111="NA",J111="NR",ISBLANK(J111)),J111,IFERROR(INDEX([2]Result!$C$7:$C$15,MATCH(1,(J111&gt;=[2]Result!$A$7:$A$15)*(J111&lt;=[2]Result!$B$7:$B$15),0)), "NA"))</f>
        <v>NA</v>
      </c>
      <c r="V111" s="25" t="str">
        <f t="shared" si="12"/>
        <v>NA</v>
      </c>
      <c r="W111" s="25" t="str" cm="1">
        <f t="array" ref="W111">IF(OR(M111="NA",M111="NR",ISBLANK(M111)),M111,IFERROR(INDEX([2]Result!$C$7:$C$15,MATCH(1,(M111&gt;=[2]Result!$A$7:$A$15)*(M111&lt;=[2]Result!$B$7:$B$15),0)), "NA"))</f>
        <v>NA</v>
      </c>
    </row>
    <row r="112" spans="1:23" ht="15.75" x14ac:dyDescent="0.25">
      <c r="A112" s="40">
        <v>101</v>
      </c>
      <c r="B112" s="41">
        <v>6599</v>
      </c>
      <c r="C112" s="40" t="str">
        <f>'[2]Evalution 25'!B102</f>
        <v>Massoud Abdallah Abd Elghany Abdallah Abd Elghany</v>
      </c>
      <c r="D112" s="42">
        <v>44416</v>
      </c>
      <c r="E112" s="40" t="str">
        <f>'[2]Evalution 25'!C102</f>
        <v>Cairo</v>
      </c>
      <c r="F112" s="40" t="str">
        <f>'[2]Evalution 25'!E102</f>
        <v>Supervisor IT Engineer</v>
      </c>
      <c r="G112" s="40" t="str">
        <f>'[2]Evalution 25'!D102</f>
        <v>Technology</v>
      </c>
      <c r="H112" s="40">
        <f>'[2]Evalutaion 23'!G66</f>
        <v>0</v>
      </c>
      <c r="I112" s="40">
        <f>'[2]Evalutaion 23'!H66</f>
        <v>4</v>
      </c>
      <c r="J112" s="40">
        <f t="shared" si="7"/>
        <v>2</v>
      </c>
      <c r="K112" s="40">
        <f>'[2]Evalutaion 24'!G85</f>
        <v>3.6</v>
      </c>
      <c r="L112" s="40">
        <f>'[2]Evalutaion 24'!H85</f>
        <v>3.7</v>
      </c>
      <c r="M112" s="40">
        <f t="shared" si="8"/>
        <v>3.6500000000000004</v>
      </c>
      <c r="N112" s="40">
        <f>'[2]Evalution 25'!G102</f>
        <v>3.9</v>
      </c>
      <c r="O112" s="40">
        <f>'[2]Evalution 25'!H102</f>
        <v>3.8</v>
      </c>
      <c r="P112" s="40">
        <f t="shared" si="9"/>
        <v>3.8499999999999996</v>
      </c>
      <c r="Q112" s="43">
        <f t="shared" si="13"/>
        <v>2.375</v>
      </c>
      <c r="R112" s="43" t="str">
        <f t="shared" si="10"/>
        <v>High</v>
      </c>
      <c r="S112" s="44" t="str">
        <f>IFERROR( _xlfn.XLOOKUP(Q112,[2]Result!$A$7:$A$15,[2]Result!$C$7:$C$15,"Out of range",-1),"N/A")</f>
        <v>2A</v>
      </c>
      <c r="T112" s="43">
        <f t="shared" si="11"/>
        <v>2</v>
      </c>
      <c r="U112" s="25" t="str" cm="1">
        <f t="array" ref="U112">IF(OR(J112="NA",J112="NR",ISBLANK(J112)),J112,IFERROR(INDEX([2]Result!$C$7:$C$15,MATCH(1,(J112&gt;=[2]Result!$A$7:$A$15)*(J112&lt;=[2]Result!$B$7:$B$15),0)), "NA"))</f>
        <v>1C</v>
      </c>
      <c r="V112" s="25">
        <f t="shared" si="12"/>
        <v>3.6500000000000004</v>
      </c>
      <c r="W112" s="25" t="str" cm="1">
        <f t="array" ref="W112">IF(OR(M112="NA",M112="NR",ISBLANK(M112)),M112,IFERROR(INDEX([2]Result!$C$7:$C$15,MATCH(1,(M112&gt;=[2]Result!$A$7:$A$15)*(M112&lt;=[2]Result!$B$7:$B$15),0)), "NA"))</f>
        <v>3A</v>
      </c>
    </row>
    <row r="113" spans="1:23" ht="15.75" x14ac:dyDescent="0.25">
      <c r="A113" s="40">
        <v>102</v>
      </c>
      <c r="B113" s="41">
        <v>49915</v>
      </c>
      <c r="C113" s="40" t="str">
        <f>'[2]Evalution 25'!B103</f>
        <v>Mathieu Sayed Yarak</v>
      </c>
      <c r="D113" s="42">
        <v>45663</v>
      </c>
      <c r="E113" s="40" t="str">
        <f>'[2]Evalution 25'!C103</f>
        <v>Dubai</v>
      </c>
      <c r="F113" s="40" t="str">
        <f>'[2]Evalution 25'!E103</f>
        <v>Head of Data</v>
      </c>
      <c r="G113" s="40" t="str">
        <f>'[2]Evalution 25'!D103</f>
        <v>Research</v>
      </c>
      <c r="H113" s="40" t="s">
        <v>554</v>
      </c>
      <c r="I113" s="40" t="s">
        <v>554</v>
      </c>
      <c r="J113" s="40" t="str">
        <f t="shared" si="7"/>
        <v>NA</v>
      </c>
      <c r="K113" s="40" t="s">
        <v>554</v>
      </c>
      <c r="L113" s="40" t="s">
        <v>554</v>
      </c>
      <c r="M113" s="40" t="str">
        <f t="shared" si="8"/>
        <v>NA</v>
      </c>
      <c r="N113" s="40">
        <f>'[2]Evalution 25'!G103</f>
        <v>4.5</v>
      </c>
      <c r="O113" s="40">
        <f>'[2]Evalution 25'!H103</f>
        <v>4.2</v>
      </c>
      <c r="P113" s="40">
        <f t="shared" si="9"/>
        <v>4.3499999999999996</v>
      </c>
      <c r="Q113" s="43">
        <f t="shared" si="13"/>
        <v>2.1749999999999998</v>
      </c>
      <c r="R113" s="43" t="str">
        <f t="shared" si="10"/>
        <v>High</v>
      </c>
      <c r="S113" s="47" t="str">
        <f>IFERROR( _xlfn.XLOOKUP(Q113,[2]Result!$A$7:$A$15,[2]Result!$C$7:$C$15,"Out of range",-1),"N/A")</f>
        <v>2A</v>
      </c>
      <c r="T113" s="43" t="str">
        <f t="shared" si="11"/>
        <v>NA</v>
      </c>
      <c r="U113" s="25" t="str" cm="1">
        <f t="array" ref="U113">IF(OR(J113="NA",J113="NR",ISBLANK(J113)),J113,IFERROR(INDEX([2]Result!$C$7:$C$15,MATCH(1,(J113&gt;=[2]Result!$A$7:$A$15)*(J113&lt;=[2]Result!$B$7:$B$15),0)), "NA"))</f>
        <v>NA</v>
      </c>
      <c r="V113" s="25" t="str">
        <f t="shared" si="12"/>
        <v>NA</v>
      </c>
      <c r="W113" s="25" t="str" cm="1">
        <f t="array" ref="W113">IF(OR(M113="NA",M113="NR",ISBLANK(M113)),M113,IFERROR(INDEX([2]Result!$C$7:$C$15,MATCH(1,(M113&gt;=[2]Result!$A$7:$A$15)*(M113&lt;=[2]Result!$B$7:$B$15),0)), "NA"))</f>
        <v>NA</v>
      </c>
    </row>
    <row r="114" spans="1:23" ht="15.75" x14ac:dyDescent="0.25">
      <c r="A114" s="40">
        <v>103</v>
      </c>
      <c r="B114" s="41">
        <v>10850</v>
      </c>
      <c r="C114" s="40" t="str">
        <f>'[2]Evalution 25'!B104</f>
        <v>Kareem Mohamed Yahya Saad Ibrahim</v>
      </c>
      <c r="D114" s="42">
        <v>44348</v>
      </c>
      <c r="E114" s="40" t="str">
        <f>'[2]Evalution 25'!C104</f>
        <v>Dubai</v>
      </c>
      <c r="F114" s="40" t="str">
        <f>'[2]Evalution 25'!E104</f>
        <v>Senior Accountant-MMS</v>
      </c>
      <c r="G114" s="40" t="str">
        <f>'[2]Evalution 25'!D104</f>
        <v>Finance</v>
      </c>
      <c r="H114" s="40">
        <f>'[2]Evalutaion 23'!G67</f>
        <v>0</v>
      </c>
      <c r="I114" s="40">
        <f>'[2]Evalutaion 23'!H67</f>
        <v>3.2</v>
      </c>
      <c r="J114" s="40">
        <f t="shared" si="7"/>
        <v>1.6</v>
      </c>
      <c r="K114" s="40">
        <f>'[2]Evalutaion 24'!G86</f>
        <v>4</v>
      </c>
      <c r="L114" s="40">
        <f>'[2]Evalutaion 24'!H86</f>
        <v>4</v>
      </c>
      <c r="M114" s="40">
        <f t="shared" si="8"/>
        <v>4</v>
      </c>
      <c r="N114" s="40">
        <f>'[2]Evalution 25'!G104</f>
        <v>3.5</v>
      </c>
      <c r="O114" s="40">
        <f>'[2]Evalution 25'!H104</f>
        <v>3.5</v>
      </c>
      <c r="P114" s="40">
        <f t="shared" si="9"/>
        <v>3.5</v>
      </c>
      <c r="Q114" s="43">
        <f t="shared" si="13"/>
        <v>2.2749999999999999</v>
      </c>
      <c r="R114" s="43" t="str">
        <f t="shared" si="10"/>
        <v>Average</v>
      </c>
      <c r="S114" s="44" t="str">
        <f>IFERROR( _xlfn.XLOOKUP(Q114,[2]Result!$A$7:$A$15,[2]Result!$C$7:$C$15,"Out of range",-1),"N/A")</f>
        <v>2A</v>
      </c>
      <c r="T114" s="43">
        <f t="shared" si="11"/>
        <v>1.6</v>
      </c>
      <c r="U114" s="25" t="str" cm="1">
        <f t="array" ref="U114">IF(OR(J114="NA",J114="NR",ISBLANK(J114)),J114,IFERROR(INDEX([2]Result!$C$7:$C$15,MATCH(1,(J114&gt;=[2]Result!$A$7:$A$15)*(J114&lt;=[2]Result!$B$7:$B$15),0)), "NA"))</f>
        <v>1C</v>
      </c>
      <c r="V114" s="25">
        <f t="shared" si="12"/>
        <v>4</v>
      </c>
      <c r="W114" s="25" t="str" cm="1">
        <f t="array" ref="W114">IF(OR(M114="NA",M114="NR",ISBLANK(M114)),M114,IFERROR(INDEX([2]Result!$C$7:$C$15,MATCH(1,(M114&gt;=[2]Result!$A$7:$A$15)*(M114&lt;=[2]Result!$B$7:$B$15),0)), "NA"))</f>
        <v>3A</v>
      </c>
    </row>
    <row r="115" spans="1:23" ht="15.75" x14ac:dyDescent="0.25">
      <c r="A115" s="40">
        <v>104</v>
      </c>
      <c r="B115" s="41">
        <v>10823</v>
      </c>
      <c r="C115" s="40" t="str">
        <f>'[2]Evalution 25'!B105</f>
        <v xml:space="preserve">Faisal Shakeel Shakeel Ahmed </v>
      </c>
      <c r="D115" s="42">
        <v>44178</v>
      </c>
      <c r="E115" s="40" t="str">
        <f>'[2]Evalution 25'!C105</f>
        <v>Dubai</v>
      </c>
      <c r="F115" s="40" t="str">
        <f>'[2]Evalution 25'!E105</f>
        <v>Assistant Finance Manager</v>
      </c>
      <c r="G115" s="40" t="str">
        <f>'[2]Evalution 25'!D105</f>
        <v>Finance</v>
      </c>
      <c r="H115" s="40">
        <f>'[2]Evalutaion 23'!G68</f>
        <v>3.6</v>
      </c>
      <c r="I115" s="40">
        <f>'[2]Evalutaion 23'!H68</f>
        <v>3</v>
      </c>
      <c r="J115" s="40">
        <f t="shared" si="7"/>
        <v>3.3</v>
      </c>
      <c r="K115" s="40">
        <f>'[2]Evalutaion 24'!G87</f>
        <v>4.2</v>
      </c>
      <c r="L115" s="40">
        <f>'[2]Evalutaion 24'!H87</f>
        <v>4</v>
      </c>
      <c r="M115" s="40">
        <f t="shared" si="8"/>
        <v>4.0999999999999996</v>
      </c>
      <c r="N115" s="40">
        <f>'[2]Evalution 25'!G105</f>
        <v>3.5</v>
      </c>
      <c r="O115" s="40">
        <f>'[2]Evalution 25'!H105</f>
        <v>3.3</v>
      </c>
      <c r="P115" s="40">
        <f t="shared" si="9"/>
        <v>3.4</v>
      </c>
      <c r="Q115" s="43">
        <f t="shared" si="13"/>
        <v>2.6999999999999997</v>
      </c>
      <c r="R115" s="43" t="str">
        <f t="shared" si="10"/>
        <v>Average</v>
      </c>
      <c r="S115" s="45" t="str">
        <f>IFERROR( _xlfn.XLOOKUP(Q115,[2]Result!$A$7:$A$15,[2]Result!$C$7:$C$15,"Out of range",-1),"N/A")</f>
        <v>2B</v>
      </c>
      <c r="T115" s="43">
        <f t="shared" si="11"/>
        <v>3.3</v>
      </c>
      <c r="U115" s="25" t="str" cm="1">
        <f t="array" ref="U115">IF(OR(J115="NA",J115="NR",ISBLANK(J115)),J115,IFERROR(INDEX([2]Result!$C$7:$C$15,MATCH(1,(J115&gt;=[2]Result!$A$7:$A$15)*(J115&lt;=[2]Result!$B$7:$B$15),0)), "NA"))</f>
        <v>2C</v>
      </c>
      <c r="V115" s="25">
        <f t="shared" si="12"/>
        <v>4.0999999999999996</v>
      </c>
      <c r="W115" s="25" t="str" cm="1">
        <f t="array" ref="W115">IF(OR(M115="NA",M115="NR",ISBLANK(M115)),M115,IFERROR(INDEX([2]Result!$C$7:$C$15,MATCH(1,(M115&gt;=[2]Result!$A$7:$A$15)*(M115&lt;=[2]Result!$B$7:$B$15),0)), "NA"))</f>
        <v>3B</v>
      </c>
    </row>
    <row r="116" spans="1:23" ht="15.75" x14ac:dyDescent="0.25">
      <c r="A116" s="40">
        <v>105</v>
      </c>
      <c r="B116" s="41">
        <v>5836</v>
      </c>
      <c r="C116" s="40" t="str">
        <f>'[2]Evalution 25'!B106</f>
        <v>Meriem Kettani</v>
      </c>
      <c r="D116" s="42">
        <v>44088</v>
      </c>
      <c r="E116" s="40" t="str">
        <f>'[2]Evalution 25'!C106</f>
        <v>Dubai</v>
      </c>
      <c r="F116" s="40" t="str">
        <f>'[2]Evalution 25'!E106</f>
        <v>Chief Finance and Operations Officer</v>
      </c>
      <c r="G116" s="40" t="str">
        <f>'[2]Evalution 25'!D106</f>
        <v>Executive</v>
      </c>
      <c r="H116" s="40" t="s">
        <v>554</v>
      </c>
      <c r="I116" s="40" t="s">
        <v>554</v>
      </c>
      <c r="J116" s="40" t="str">
        <f t="shared" si="7"/>
        <v>NR</v>
      </c>
      <c r="K116" s="40" t="s">
        <v>554</v>
      </c>
      <c r="L116" s="40" t="s">
        <v>554</v>
      </c>
      <c r="M116" s="40" t="str">
        <f t="shared" si="8"/>
        <v>NR</v>
      </c>
      <c r="N116" s="40" t="s">
        <v>554</v>
      </c>
      <c r="O116" s="40" t="s">
        <v>554</v>
      </c>
      <c r="P116" s="40" t="str">
        <f t="shared" si="9"/>
        <v>NR</v>
      </c>
      <c r="Q116" s="43">
        <f t="shared" si="13"/>
        <v>0</v>
      </c>
      <c r="R116" s="43" t="str">
        <f t="shared" si="10"/>
        <v>NA</v>
      </c>
      <c r="S116" s="40" t="str">
        <f>IFERROR( _xlfn.XLOOKUP(Q116,[2]Result!$A$7:$A$15,[2]Result!$C$7:$C$15,"Out of range",-1),"N/A")</f>
        <v>1A</v>
      </c>
      <c r="T116" s="43" t="str">
        <f>IF($D116&gt;DATE(2023,12,31),"NA",IF(J116="","NR",J116))</f>
        <v>NR</v>
      </c>
      <c r="U116" s="25" t="str" cm="1">
        <f t="array" ref="U116">IF(OR(J116="NA",J116="NR",ISBLANK(J116)),J116,IFERROR(INDEX([2]Result!$C$7:$C$15,MATCH(1,(J116&gt;=[2]Result!$A$7:$A$15)*(J116&lt;=[2]Result!$B$7:$B$15),0)), "NA"))</f>
        <v>NR</v>
      </c>
      <c r="V116" s="25" t="str">
        <f t="shared" si="12"/>
        <v>NR</v>
      </c>
      <c r="W116" s="25" t="str" cm="1">
        <f t="array" ref="W116">IF(OR(M116="NA",M116="NR",ISBLANK(M116)),M116,IFERROR(INDEX([2]Result!$C$7:$C$15,MATCH(1,(M116&gt;=[2]Result!$A$7:$A$15)*(M116&lt;=[2]Result!$B$7:$B$15),0)), "NA"))</f>
        <v>NR</v>
      </c>
    </row>
    <row r="117" spans="1:23" ht="15.75" x14ac:dyDescent="0.25">
      <c r="A117" s="40">
        <v>106</v>
      </c>
      <c r="B117" s="41">
        <v>2834</v>
      </c>
      <c r="C117" s="40" t="str">
        <f>'[2]Evalution 25'!B107</f>
        <v xml:space="preserve">MHD Moaz Dahhan </v>
      </c>
      <c r="D117" s="42">
        <v>41722</v>
      </c>
      <c r="E117" s="40" t="str">
        <f>'[2]Evalution 25'!C107</f>
        <v>Dubai</v>
      </c>
      <c r="F117" s="40" t="str">
        <f>'[2]Evalution 25'!E107</f>
        <v>IT Manager-MMS</v>
      </c>
      <c r="G117" s="40" t="str">
        <f>'[2]Evalution 25'!D107</f>
        <v>Technology</v>
      </c>
      <c r="H117" s="40">
        <f>'[2]Evalutaion 23'!G70</f>
        <v>3.8</v>
      </c>
      <c r="I117" s="40">
        <f>'[2]Evalutaion 23'!H70</f>
        <v>3.7</v>
      </c>
      <c r="J117" s="40">
        <f t="shared" si="7"/>
        <v>3.75</v>
      </c>
      <c r="K117" s="40">
        <f>'[2]Evalutaion 24'!G89</f>
        <v>4</v>
      </c>
      <c r="L117" s="40">
        <f>'[2]Evalutaion 24'!H89</f>
        <v>4</v>
      </c>
      <c r="M117" s="40">
        <f t="shared" si="8"/>
        <v>4</v>
      </c>
      <c r="N117" s="40">
        <f>'[2]Evalution 25'!G107</f>
        <v>4</v>
      </c>
      <c r="O117" s="40">
        <f>'[2]Evalution 25'!H107</f>
        <v>4</v>
      </c>
      <c r="P117" s="40">
        <f t="shared" si="9"/>
        <v>4</v>
      </c>
      <c r="Q117" s="43">
        <f t="shared" si="13"/>
        <v>2.9375</v>
      </c>
      <c r="R117" s="43" t="str">
        <f t="shared" si="10"/>
        <v>High</v>
      </c>
      <c r="S117" s="45" t="str">
        <f>IFERROR( _xlfn.XLOOKUP(Q117,[2]Result!$A$7:$A$15,[2]Result!$C$7:$C$15,"Out of range",-1),"N/A")</f>
        <v>2B</v>
      </c>
      <c r="T117" s="43">
        <f t="shared" ref="T117:T180" si="14">IF($D117&gt;DATE(2023,12,31),"NA",IF(J117="","NR",J117))</f>
        <v>3.75</v>
      </c>
      <c r="U117" s="25" t="str" cm="1">
        <f t="array" ref="U117">IF(OR(J117="NA",J117="NR",ISBLANK(J117)),J117,IFERROR(INDEX([2]Result!$C$7:$C$15,MATCH(1,(J117&gt;=[2]Result!$A$7:$A$15)*(J117&lt;=[2]Result!$B$7:$B$15),0)), "NA"))</f>
        <v>3A</v>
      </c>
      <c r="V117" s="25">
        <f t="shared" si="12"/>
        <v>4</v>
      </c>
      <c r="W117" s="25" t="str" cm="1">
        <f t="array" ref="W117">IF(OR(M117="NA",M117="NR",ISBLANK(M117)),M117,IFERROR(INDEX([2]Result!$C$7:$C$15,MATCH(1,(M117&gt;=[2]Result!$A$7:$A$15)*(M117&lt;=[2]Result!$B$7:$B$15),0)), "NA"))</f>
        <v>3A</v>
      </c>
    </row>
    <row r="118" spans="1:23" ht="15.75" x14ac:dyDescent="0.25">
      <c r="A118" s="40">
        <v>107</v>
      </c>
      <c r="B118" s="41">
        <v>10847</v>
      </c>
      <c r="C118" s="40" t="str">
        <f>'[2]Evalution 25'!B108</f>
        <v>Michel  Antoine Joumaa</v>
      </c>
      <c r="D118" s="42">
        <v>44326</v>
      </c>
      <c r="E118" s="40" t="str">
        <f>'[2]Evalution 25'!C108</f>
        <v>Dubai</v>
      </c>
      <c r="F118" s="40" t="str">
        <f>'[2]Evalution 25'!E108</f>
        <v>Agency Partnerships Associate Director</v>
      </c>
      <c r="G118" s="40" t="str">
        <f>'[2]Evalution 25'!D108</f>
        <v>Agency Partnerships</v>
      </c>
      <c r="H118" s="40">
        <f>'[2]Evalutaion 23'!G71</f>
        <v>0</v>
      </c>
      <c r="I118" s="40">
        <f>'[2]Evalutaion 23'!H71</f>
        <v>4.7</v>
      </c>
      <c r="J118" s="40">
        <f t="shared" si="7"/>
        <v>2.35</v>
      </c>
      <c r="K118" s="40">
        <f>'[2]Evalutaion 24'!G90</f>
        <v>4.3</v>
      </c>
      <c r="L118" s="40">
        <f>'[2]Evalutaion 24'!H90</f>
        <v>4.3</v>
      </c>
      <c r="M118" s="40">
        <f t="shared" si="8"/>
        <v>4.3</v>
      </c>
      <c r="N118" s="40">
        <f>'[2]Evalution 25'!G108</f>
        <v>4</v>
      </c>
      <c r="O118" s="40">
        <f>'[2]Evalution 25'!H108</f>
        <v>4.3</v>
      </c>
      <c r="P118" s="40">
        <f t="shared" si="9"/>
        <v>4.1500000000000004</v>
      </c>
      <c r="Q118" s="43">
        <f t="shared" si="13"/>
        <v>2.7</v>
      </c>
      <c r="R118" s="43" t="str">
        <f t="shared" si="10"/>
        <v>High</v>
      </c>
      <c r="S118" s="48" t="str">
        <f>IFERROR( _xlfn.XLOOKUP(Q118,[2]Result!$A$7:$A$15,[2]Result!$C$7:$C$15,"Out of range",-1),"N/A")</f>
        <v>2B</v>
      </c>
      <c r="T118" s="43">
        <f t="shared" si="14"/>
        <v>2.35</v>
      </c>
      <c r="U118" s="25" t="str" cm="1">
        <f t="array" ref="U118">IF(OR(J118="NA",J118="NR",ISBLANK(J118)),J118,IFERROR(INDEX([2]Result!$C$7:$C$15,MATCH(1,(J118&gt;=[2]Result!$A$7:$A$15)*(J118&lt;=[2]Result!$B$7:$B$15),0)), "NA"))</f>
        <v>2A</v>
      </c>
      <c r="V118" s="25">
        <f t="shared" si="12"/>
        <v>4.3</v>
      </c>
      <c r="W118" s="25" t="str" cm="1">
        <f t="array" ref="W118">IF(OR(M118="NA",M118="NR",ISBLANK(M118)),M118,IFERROR(INDEX([2]Result!$C$7:$C$15,MATCH(1,(M118&gt;=[2]Result!$A$7:$A$15)*(M118&lt;=[2]Result!$B$7:$B$15),0)), "NA"))</f>
        <v>3B</v>
      </c>
    </row>
    <row r="119" spans="1:23" ht="15.75" x14ac:dyDescent="0.25">
      <c r="A119" s="40">
        <v>108</v>
      </c>
      <c r="B119" s="41">
        <v>10831</v>
      </c>
      <c r="C119" s="40" t="str">
        <f>'[2]Evalution 25'!B109</f>
        <v>Mahmoud Soubhe Muhammed Ramadan</v>
      </c>
      <c r="D119" s="42">
        <v>44213</v>
      </c>
      <c r="E119" s="40" t="str">
        <f>'[2]Evalution 25'!C109</f>
        <v>Riyadh</v>
      </c>
      <c r="F119" s="40" t="str">
        <f>'[2]Evalution 25'!E109</f>
        <v>Senior Finance Manager</v>
      </c>
      <c r="G119" s="40" t="str">
        <f>'[2]Evalution 25'!D109</f>
        <v>Finance</v>
      </c>
      <c r="H119" s="40">
        <f>'[2]Evalutaion 23'!G72</f>
        <v>3.6</v>
      </c>
      <c r="I119" s="40">
        <f>'[2]Evalutaion 23'!H72</f>
        <v>3.3</v>
      </c>
      <c r="J119" s="40">
        <f t="shared" si="7"/>
        <v>3.45</v>
      </c>
      <c r="K119" s="40">
        <f>'[2]Evalutaion 24'!G91</f>
        <v>4</v>
      </c>
      <c r="L119" s="40">
        <f>'[2]Evalutaion 24'!H91</f>
        <v>4</v>
      </c>
      <c r="M119" s="40">
        <f t="shared" si="8"/>
        <v>4</v>
      </c>
      <c r="N119" s="40">
        <f>'[2]Evalution 25'!G109</f>
        <v>3.5</v>
      </c>
      <c r="O119" s="40">
        <f>'[2]Evalution 25'!H109</f>
        <v>3.3</v>
      </c>
      <c r="P119" s="40">
        <f t="shared" si="9"/>
        <v>3.4</v>
      </c>
      <c r="Q119" s="43">
        <f t="shared" si="13"/>
        <v>2.7124999999999999</v>
      </c>
      <c r="R119" s="43" t="str">
        <f t="shared" si="10"/>
        <v>Average</v>
      </c>
      <c r="S119" s="45" t="str">
        <f>IFERROR( _xlfn.XLOOKUP(Q119,[2]Result!$A$7:$A$15,[2]Result!$C$7:$C$15,"Out of range",-1),"N/A")</f>
        <v>2B</v>
      </c>
      <c r="T119" s="43">
        <f t="shared" si="14"/>
        <v>3.45</v>
      </c>
      <c r="U119" s="25" t="str" cm="1">
        <f t="array" ref="U119">IF(OR(J119="NA",J119="NR",ISBLANK(J119)),J119,IFERROR(INDEX([2]Result!$C$7:$C$15,MATCH(1,(J119&gt;=[2]Result!$A$7:$A$15)*(J119&lt;=[2]Result!$B$7:$B$15),0)), "NA"))</f>
        <v>2C</v>
      </c>
      <c r="V119" s="25">
        <f t="shared" si="12"/>
        <v>4</v>
      </c>
      <c r="W119" s="25" t="str" cm="1">
        <f t="array" ref="W119">IF(OR(M119="NA",M119="NR",ISBLANK(M119)),M119,IFERROR(INDEX([2]Result!$C$7:$C$15,MATCH(1,(M119&gt;=[2]Result!$A$7:$A$15)*(M119&lt;=[2]Result!$B$7:$B$15),0)), "NA"))</f>
        <v>3A</v>
      </c>
    </row>
    <row r="120" spans="1:23" ht="15.75" x14ac:dyDescent="0.25">
      <c r="A120" s="40">
        <v>109</v>
      </c>
      <c r="B120" s="41">
        <v>2152</v>
      </c>
      <c r="C120" s="40" t="str">
        <f>'[2]Evalution 25'!B110</f>
        <v xml:space="preserve">Mohamad Toufic Ramadan </v>
      </c>
      <c r="D120" s="42">
        <v>39947</v>
      </c>
      <c r="E120" s="40" t="str">
        <f>'[2]Evalution 25'!C110</f>
        <v>Dubai</v>
      </c>
      <c r="F120" s="40" t="str">
        <f>'[2]Evalution 25'!E110</f>
        <v>Content Solutions Director</v>
      </c>
      <c r="G120" s="40" t="str">
        <f>'[2]Evalution 25'!D110</f>
        <v>Content Solutions</v>
      </c>
      <c r="H120" s="40">
        <f>'[2]Evalutaion 23'!G73</f>
        <v>4.5</v>
      </c>
      <c r="I120" s="40">
        <f>'[2]Evalutaion 23'!H73</f>
        <v>4.3</v>
      </c>
      <c r="J120" s="40">
        <f t="shared" si="7"/>
        <v>4.4000000000000004</v>
      </c>
      <c r="K120" s="40">
        <f>'[2]Evalutaion 24'!G92</f>
        <v>4.5999999999999996</v>
      </c>
      <c r="L120" s="40">
        <f>'[2]Evalutaion 24'!H92</f>
        <v>4.3</v>
      </c>
      <c r="M120" s="40">
        <f t="shared" si="8"/>
        <v>4.4499999999999993</v>
      </c>
      <c r="N120" s="40">
        <f>'[2]Evalution 25'!G110</f>
        <v>4.8</v>
      </c>
      <c r="O120" s="40">
        <f>'[2]Evalution 25'!H110</f>
        <v>4.3</v>
      </c>
      <c r="P120" s="40">
        <f t="shared" si="9"/>
        <v>4.55</v>
      </c>
      <c r="Q120" s="43">
        <f t="shared" si="13"/>
        <v>3.3499999999999996</v>
      </c>
      <c r="R120" s="43" t="str">
        <f t="shared" si="10"/>
        <v>High</v>
      </c>
      <c r="S120" s="44" t="str">
        <f>IFERROR( _xlfn.XLOOKUP(Q120,[2]Result!$A$7:$A$15,[2]Result!$C$7:$C$15,"Out of range",-1),"N/A")</f>
        <v>2C</v>
      </c>
      <c r="T120" s="43">
        <f t="shared" si="14"/>
        <v>4.4000000000000004</v>
      </c>
      <c r="U120" s="25" t="str" cm="1">
        <f t="array" ref="U120">IF(OR(J120="NA",J120="NR",ISBLANK(J120)),J120,IFERROR(INDEX([2]Result!$C$7:$C$15,MATCH(1,(J120&gt;=[2]Result!$A$7:$A$15)*(J120&lt;=[2]Result!$B$7:$B$15),0)), "NA"))</f>
        <v>3B</v>
      </c>
      <c r="V120" s="25">
        <f t="shared" si="12"/>
        <v>4.4499999999999993</v>
      </c>
      <c r="W120" s="25" t="str" cm="1">
        <f t="array" ref="W120">IF(OR(M120="NA",M120="NR",ISBLANK(M120)),M120,IFERROR(INDEX([2]Result!$C$7:$C$15,MATCH(1,(M120&gt;=[2]Result!$A$7:$A$15)*(M120&lt;=[2]Result!$B$7:$B$15),0)), "NA"))</f>
        <v>3B</v>
      </c>
    </row>
    <row r="121" spans="1:23" ht="15.75" x14ac:dyDescent="0.25">
      <c r="A121" s="40">
        <v>110</v>
      </c>
      <c r="B121" s="41">
        <v>6627</v>
      </c>
      <c r="C121" s="40" t="str">
        <f>'[2]Evalution 25'!B111</f>
        <v>Mohamed Ahmed Hassan Nasr</v>
      </c>
      <c r="D121" s="42">
        <v>44612</v>
      </c>
      <c r="E121" s="40" t="str">
        <f>'[2]Evalution 25'!C111</f>
        <v>Cairo</v>
      </c>
      <c r="F121" s="40" t="str">
        <f>'[2]Evalution 25'!E111</f>
        <v>Sales Senior Manager</v>
      </c>
      <c r="G121" s="40" t="str">
        <f>'[2]Evalution 25'!D111</f>
        <v>Agency Partnerships</v>
      </c>
      <c r="H121" s="40">
        <f>'[2]Evalutaion 23'!G74</f>
        <v>3.3</v>
      </c>
      <c r="I121" s="40">
        <f>'[2]Evalutaion 23'!H74</f>
        <v>3.2</v>
      </c>
      <c r="J121" s="40">
        <f t="shared" si="7"/>
        <v>3.25</v>
      </c>
      <c r="K121" s="40">
        <f>'[2]Evalutaion 24'!G93</f>
        <v>4</v>
      </c>
      <c r="L121" s="40">
        <f>'[2]Evalutaion 24'!H93</f>
        <v>3.8</v>
      </c>
      <c r="M121" s="40">
        <f t="shared" si="8"/>
        <v>3.9</v>
      </c>
      <c r="N121" s="40">
        <f>'[2]Evalution 25'!G111</f>
        <v>0</v>
      </c>
      <c r="O121" s="40">
        <f>'[2]Evalution 25'!H111</f>
        <v>0</v>
      </c>
      <c r="P121" s="40">
        <f t="shared" si="9"/>
        <v>0</v>
      </c>
      <c r="Q121" s="43">
        <f t="shared" si="13"/>
        <v>1.7875000000000001</v>
      </c>
      <c r="R121" s="43" t="str">
        <f t="shared" si="10"/>
        <v>Poor</v>
      </c>
      <c r="S121" s="48" t="str">
        <f>IFERROR( _xlfn.XLOOKUP(Q121,[2]Result!$A$7:$A$15,[2]Result!$C$7:$C$15,"Out of range",-1),"N/A")</f>
        <v>1C</v>
      </c>
      <c r="T121" s="43">
        <f t="shared" si="14"/>
        <v>3.25</v>
      </c>
      <c r="U121" s="25" t="str" cm="1">
        <f t="array" ref="U121">IF(OR(J121="NA",J121="NR",ISBLANK(J121)),J121,IFERROR(INDEX([2]Result!$C$7:$C$15,MATCH(1,(J121&gt;=[2]Result!$A$7:$A$15)*(J121&lt;=[2]Result!$B$7:$B$15),0)), "NA"))</f>
        <v>2C</v>
      </c>
      <c r="V121" s="25">
        <f t="shared" si="12"/>
        <v>3.9</v>
      </c>
      <c r="W121" s="25" t="str" cm="1">
        <f t="array" ref="W121">IF(OR(M121="NA",M121="NR",ISBLANK(M121)),M121,IFERROR(INDEX([2]Result!$C$7:$C$15,MATCH(1,(M121&gt;=[2]Result!$A$7:$A$15)*(M121&lt;=[2]Result!$B$7:$B$15),0)), "NA"))</f>
        <v>3A</v>
      </c>
    </row>
    <row r="122" spans="1:23" ht="15.75" x14ac:dyDescent="0.25">
      <c r="A122" s="40">
        <v>111</v>
      </c>
      <c r="B122" s="41">
        <v>6546</v>
      </c>
      <c r="C122" s="40" t="str">
        <f>'[2]Evalution 25'!B112</f>
        <v>Mohamed Ahmed Ibrahim Refaat</v>
      </c>
      <c r="D122" s="42">
        <v>44171</v>
      </c>
      <c r="E122" s="40" t="str">
        <f>'[2]Evalution 25'!C112</f>
        <v>Cairo</v>
      </c>
      <c r="F122" s="40" t="str">
        <f>'[2]Evalution 25'!E112</f>
        <v>Commercial Lead</v>
      </c>
      <c r="G122" s="40" t="str">
        <f>'[2]Evalution 25'!D112</f>
        <v>Agency Partnerships</v>
      </c>
      <c r="H122" s="40">
        <f>'[2]Evalutaion 23'!G75</f>
        <v>4.5999999999999996</v>
      </c>
      <c r="I122" s="40">
        <f>'[2]Evalutaion 23'!H75</f>
        <v>4.2</v>
      </c>
      <c r="J122" s="40">
        <f t="shared" si="7"/>
        <v>4.4000000000000004</v>
      </c>
      <c r="K122" s="40">
        <f>'[2]Evalutaion 24'!G94</f>
        <v>4.8</v>
      </c>
      <c r="L122" s="40">
        <f>'[2]Evalutaion 24'!H94</f>
        <v>4.3</v>
      </c>
      <c r="M122" s="40">
        <f t="shared" si="8"/>
        <v>4.55</v>
      </c>
      <c r="N122" s="40">
        <f>'[2]Evalution 25'!G112</f>
        <v>4</v>
      </c>
      <c r="O122" s="40">
        <f>'[2]Evalution 25'!H112</f>
        <v>4.3</v>
      </c>
      <c r="P122" s="40">
        <f t="shared" si="9"/>
        <v>4.1500000000000004</v>
      </c>
      <c r="Q122" s="43">
        <f t="shared" si="13"/>
        <v>3.2749999999999999</v>
      </c>
      <c r="R122" s="43" t="str">
        <f t="shared" si="10"/>
        <v>High</v>
      </c>
      <c r="S122" s="44" t="str">
        <f>IFERROR( _xlfn.XLOOKUP(Q122,[2]Result!$A$7:$A$15,[2]Result!$C$7:$C$15,"Out of range",-1),"N/A")</f>
        <v>2C</v>
      </c>
      <c r="T122" s="43">
        <f t="shared" si="14"/>
        <v>4.4000000000000004</v>
      </c>
      <c r="U122" s="25" t="str" cm="1">
        <f t="array" ref="U122">IF(OR(J122="NA",J122="NR",ISBLANK(J122)),J122,IFERROR(INDEX([2]Result!$C$7:$C$15,MATCH(1,(J122&gt;=[2]Result!$A$7:$A$15)*(J122&lt;=[2]Result!$B$7:$B$15),0)), "NA"))</f>
        <v>3B</v>
      </c>
      <c r="V122" s="25">
        <f t="shared" si="12"/>
        <v>4.55</v>
      </c>
      <c r="W122" s="25" t="str" cm="1">
        <f t="array" ref="W122">IF(OR(M122="NA",M122="NR",ISBLANK(M122)),M122,IFERROR(INDEX([2]Result!$C$7:$C$15,MATCH(1,(M122&gt;=[2]Result!$A$7:$A$15)*(M122&lt;=[2]Result!$B$7:$B$15),0)), "NA"))</f>
        <v>NA</v>
      </c>
    </row>
    <row r="123" spans="1:23" ht="15.75" x14ac:dyDescent="0.25">
      <c r="A123" s="40">
        <v>112</v>
      </c>
      <c r="B123" s="41">
        <v>6558</v>
      </c>
      <c r="C123" s="40" t="str">
        <f>'[2]Evalution 25'!B113</f>
        <v>Mohamed Ahmed Idrees Ahmed</v>
      </c>
      <c r="D123" s="42">
        <v>44228</v>
      </c>
      <c r="E123" s="40" t="str">
        <f>'[2]Evalution 25'!C113</f>
        <v>Cairo</v>
      </c>
      <c r="F123" s="40" t="str">
        <f>'[2]Evalution 25'!E113</f>
        <v>Assistant Manager - Traffic</v>
      </c>
      <c r="G123" s="40" t="str">
        <f>'[2]Evalution 25'!D113</f>
        <v>Traffic</v>
      </c>
      <c r="H123" s="40">
        <f>'[2]Evalutaion 23'!G76</f>
        <v>4.5999999999999996</v>
      </c>
      <c r="I123" s="40">
        <f>'[2]Evalutaion 23'!H76</f>
        <v>4.3</v>
      </c>
      <c r="J123" s="40">
        <f t="shared" si="7"/>
        <v>4.4499999999999993</v>
      </c>
      <c r="K123" s="40">
        <f>'[2]Evalutaion 24'!G95</f>
        <v>4.0999999999999996</v>
      </c>
      <c r="L123" s="40">
        <f>'[2]Evalutaion 24'!H95</f>
        <v>4.2</v>
      </c>
      <c r="M123" s="40">
        <f t="shared" si="8"/>
        <v>4.1500000000000004</v>
      </c>
      <c r="N123" s="40">
        <f>'[2]Evalution 25'!G113</f>
        <v>3.8</v>
      </c>
      <c r="O123" s="40">
        <f>'[2]Evalution 25'!H113</f>
        <v>3.7</v>
      </c>
      <c r="P123" s="40">
        <f t="shared" si="9"/>
        <v>3.75</v>
      </c>
      <c r="Q123" s="43">
        <f t="shared" si="13"/>
        <v>3.0874999999999999</v>
      </c>
      <c r="R123" s="43" t="str">
        <f t="shared" si="10"/>
        <v>Average</v>
      </c>
      <c r="S123" s="44" t="str">
        <f>IFERROR( _xlfn.XLOOKUP(Q123,[2]Result!$A$7:$A$15,[2]Result!$C$7:$C$15,"Out of range",-1),"N/A")</f>
        <v>2B</v>
      </c>
      <c r="T123" s="43">
        <f t="shared" si="14"/>
        <v>4.4499999999999993</v>
      </c>
      <c r="U123" s="25" t="str" cm="1">
        <f t="array" ref="U123">IF(OR(J123="NA",J123="NR",ISBLANK(J123)),J123,IFERROR(INDEX([2]Result!$C$7:$C$15,MATCH(1,(J123&gt;=[2]Result!$A$7:$A$15)*(J123&lt;=[2]Result!$B$7:$B$15),0)), "NA"))</f>
        <v>3B</v>
      </c>
      <c r="V123" s="25">
        <f t="shared" si="12"/>
        <v>4.1500000000000004</v>
      </c>
      <c r="W123" s="25" t="str" cm="1">
        <f t="array" ref="W123">IF(OR(M123="NA",M123="NR",ISBLANK(M123)),M123,IFERROR(INDEX([2]Result!$C$7:$C$15,MATCH(1,(M123&gt;=[2]Result!$A$7:$A$15)*(M123&lt;=[2]Result!$B$7:$B$15),0)), "NA"))</f>
        <v>3B</v>
      </c>
    </row>
    <row r="124" spans="1:23" ht="15.75" x14ac:dyDescent="0.25">
      <c r="A124" s="40">
        <v>113</v>
      </c>
      <c r="B124" s="41">
        <v>10311</v>
      </c>
      <c r="C124" s="40" t="str">
        <f>'[2]Evalution 25'!B114</f>
        <v>Mohamed Amr Mounir</v>
      </c>
      <c r="D124" s="42">
        <v>45635</v>
      </c>
      <c r="E124" s="40" t="str">
        <f>'[2]Evalution 25'!C114</f>
        <v>Dubai</v>
      </c>
      <c r="F124" s="40" t="str">
        <f>'[2]Evalution 25'!E114</f>
        <v>Senior Traffic Executive</v>
      </c>
      <c r="G124" s="40" t="str">
        <f>'[2]Evalution 25'!D114</f>
        <v>Traffic</v>
      </c>
      <c r="H124" s="40" t="s">
        <v>554</v>
      </c>
      <c r="I124" s="40" t="s">
        <v>554</v>
      </c>
      <c r="J124" s="40" t="str">
        <f t="shared" si="7"/>
        <v>NA</v>
      </c>
      <c r="K124" s="40" t="s">
        <v>554</v>
      </c>
      <c r="L124" s="40" t="s">
        <v>554</v>
      </c>
      <c r="M124" s="40" t="str">
        <f t="shared" si="8"/>
        <v>NR</v>
      </c>
      <c r="N124" s="40">
        <f>'[2]Evalution 25'!G114</f>
        <v>3.5</v>
      </c>
      <c r="O124" s="40">
        <f>'[2]Evalution 25'!H114</f>
        <v>3.5</v>
      </c>
      <c r="P124" s="40">
        <f t="shared" si="9"/>
        <v>3.5</v>
      </c>
      <c r="Q124" s="43">
        <f t="shared" si="13"/>
        <v>1.75</v>
      </c>
      <c r="R124" s="43" t="str">
        <f t="shared" si="10"/>
        <v>Average</v>
      </c>
      <c r="S124" s="44" t="str">
        <f>IFERROR( _xlfn.XLOOKUP(Q124,[2]Result!$A$7:$A$15,[2]Result!$C$7:$C$15,"Out of range",-1),"N/A")</f>
        <v>1C</v>
      </c>
      <c r="T124" s="43" t="str">
        <f t="shared" si="14"/>
        <v>NA</v>
      </c>
      <c r="U124" s="25" t="str" cm="1">
        <f t="array" ref="U124">IF(OR(J124="NA",J124="NR",ISBLANK(J124)),J124,IFERROR(INDEX([2]Result!$C$7:$C$15,MATCH(1,(J124&gt;=[2]Result!$A$7:$A$15)*(J124&lt;=[2]Result!$B$7:$B$15),0)), "NA"))</f>
        <v>NA</v>
      </c>
      <c r="V124" s="25" t="str">
        <f t="shared" si="12"/>
        <v>NR</v>
      </c>
      <c r="W124" s="25" t="str" cm="1">
        <f t="array" ref="W124">IF(OR(M124="NA",M124="NR",ISBLANK(M124)),M124,IFERROR(INDEX([2]Result!$C$7:$C$15,MATCH(1,(M124&gt;=[2]Result!$A$7:$A$15)*(M124&lt;=[2]Result!$B$7:$B$15),0)), "NA"))</f>
        <v>NR</v>
      </c>
    </row>
    <row r="125" spans="1:23" ht="15.75" x14ac:dyDescent="0.25">
      <c r="A125" s="40">
        <v>114</v>
      </c>
      <c r="B125" s="41">
        <v>48294</v>
      </c>
      <c r="C125" s="40" t="str">
        <f>'[2]Evalution 25'!B115</f>
        <v>Mohamed Awad mohamed Ahmed</v>
      </c>
      <c r="D125" s="42">
        <v>45231</v>
      </c>
      <c r="E125" s="40" t="str">
        <f>'[2]Evalution 25'!C115</f>
        <v>Cairo</v>
      </c>
      <c r="F125" s="40" t="str">
        <f>'[2]Evalution 25'!E115</f>
        <v>Office Boy</v>
      </c>
      <c r="G125" s="40" t="str">
        <f>'[2]Evalution 25'!D115</f>
        <v>Admin</v>
      </c>
      <c r="H125" s="40" t="s">
        <v>554</v>
      </c>
      <c r="I125" s="40" t="s">
        <v>554</v>
      </c>
      <c r="J125" s="40" t="str">
        <f t="shared" si="7"/>
        <v>NR</v>
      </c>
      <c r="K125" s="40">
        <f>'[2]Evalutaion 24'!G96</f>
        <v>5</v>
      </c>
      <c r="L125" s="40">
        <f>'[2]Evalutaion 24'!H96</f>
        <v>5</v>
      </c>
      <c r="M125" s="40">
        <f t="shared" si="8"/>
        <v>5</v>
      </c>
      <c r="N125" s="40">
        <f>'[2]Evalution 25'!G115</f>
        <v>3.5</v>
      </c>
      <c r="O125" s="40">
        <f>'[2]Evalution 25'!H115</f>
        <v>3.2</v>
      </c>
      <c r="P125" s="40">
        <f t="shared" si="9"/>
        <v>3.35</v>
      </c>
      <c r="Q125" s="43">
        <f t="shared" si="13"/>
        <v>2.7833333333333332</v>
      </c>
      <c r="R125" s="43" t="str">
        <f t="shared" si="10"/>
        <v>Average</v>
      </c>
      <c r="S125" s="44" t="str">
        <f>IFERROR( _xlfn.XLOOKUP(Q125,[2]Result!$A$7:$A$15,[2]Result!$C$7:$C$15,"Out of range",-1),"N/A")</f>
        <v>2B</v>
      </c>
      <c r="T125" s="43" t="str">
        <f t="shared" si="14"/>
        <v>NR</v>
      </c>
      <c r="U125" s="25" t="str" cm="1">
        <f t="array" ref="U125">IF(OR(J125="NA",J125="NR",ISBLANK(J125)),J125,IFERROR(INDEX([2]Result!$C$7:$C$15,MATCH(1,(J125&gt;=[2]Result!$A$7:$A$15)*(J125&lt;=[2]Result!$B$7:$B$15),0)), "NA"))</f>
        <v>NR</v>
      </c>
      <c r="V125" s="25">
        <f t="shared" si="12"/>
        <v>5</v>
      </c>
      <c r="W125" s="25" t="str" cm="1">
        <f t="array" ref="W125">IF(OR(M125="NA",M125="NR",ISBLANK(M125)),M125,IFERROR(INDEX([2]Result!$C$7:$C$15,MATCH(1,(M125&gt;=[2]Result!$A$7:$A$15)*(M125&lt;=[2]Result!$B$7:$B$15),0)), "NA"))</f>
        <v>3C</v>
      </c>
    </row>
    <row r="126" spans="1:23" ht="15.75" x14ac:dyDescent="0.25">
      <c r="A126" s="40">
        <v>115</v>
      </c>
      <c r="B126" s="41">
        <v>6550</v>
      </c>
      <c r="C126" s="40" t="str">
        <f>'[2]Evalution 25'!B116</f>
        <v>Mohamed Elsaeed Soliman Hamza</v>
      </c>
      <c r="D126" s="42">
        <v>44197</v>
      </c>
      <c r="E126" s="40" t="str">
        <f>'[2]Evalution 25'!C116</f>
        <v>Cairo</v>
      </c>
      <c r="F126" s="40" t="str">
        <f>'[2]Evalution 25'!E116</f>
        <v>Head of Commercial</v>
      </c>
      <c r="G126" s="40" t="str">
        <f>'[2]Evalution 25'!D116</f>
        <v>Agency Partnerships</v>
      </c>
      <c r="H126" s="40">
        <f>'[2]Evalutaion 23'!G77</f>
        <v>4.3</v>
      </c>
      <c r="I126" s="40">
        <f>'[2]Evalutaion 23'!H77</f>
        <v>4.3</v>
      </c>
      <c r="J126" s="40">
        <f t="shared" si="7"/>
        <v>4.3</v>
      </c>
      <c r="K126" s="40">
        <f>'[2]Evalutaion 24'!G97</f>
        <v>4</v>
      </c>
      <c r="L126" s="40">
        <f>'[2]Evalutaion 24'!H97</f>
        <v>4.3</v>
      </c>
      <c r="M126" s="40">
        <f t="shared" si="8"/>
        <v>4.1500000000000004</v>
      </c>
      <c r="N126" s="40">
        <f>'[2]Evalution 25'!G116</f>
        <v>4.7</v>
      </c>
      <c r="O126" s="40">
        <f>'[2]Evalution 25'!H116</f>
        <v>4.8</v>
      </c>
      <c r="P126" s="40">
        <f t="shared" si="9"/>
        <v>4.75</v>
      </c>
      <c r="Q126" s="43">
        <f t="shared" si="13"/>
        <v>3.3</v>
      </c>
      <c r="R126" s="43" t="str">
        <f t="shared" si="10"/>
        <v>High</v>
      </c>
      <c r="S126" s="44" t="str">
        <f>IFERROR( _xlfn.XLOOKUP(Q126,[2]Result!$A$7:$A$15,[2]Result!$C$7:$C$15,"Out of range",-1),"N/A")</f>
        <v>2C</v>
      </c>
      <c r="T126" s="43">
        <f t="shared" si="14"/>
        <v>4.3</v>
      </c>
      <c r="U126" s="25" t="str" cm="1">
        <f t="array" ref="U126">IF(OR(J126="NA",J126="NR",ISBLANK(J126)),J126,IFERROR(INDEX([2]Result!$C$7:$C$15,MATCH(1,(J126&gt;=[2]Result!$A$7:$A$15)*(J126&lt;=[2]Result!$B$7:$B$15),0)), "NA"))</f>
        <v>3B</v>
      </c>
      <c r="V126" s="25">
        <f t="shared" si="12"/>
        <v>4.1500000000000004</v>
      </c>
      <c r="W126" s="25" t="str" cm="1">
        <f t="array" ref="W126">IF(OR(M126="NA",M126="NR",ISBLANK(M126)),M126,IFERROR(INDEX([2]Result!$C$7:$C$15,MATCH(1,(M126&gt;=[2]Result!$A$7:$A$15)*(M126&lt;=[2]Result!$B$7:$B$15),0)), "NA"))</f>
        <v>3B</v>
      </c>
    </row>
    <row r="127" spans="1:23" ht="15.75" x14ac:dyDescent="0.25">
      <c r="A127" s="40">
        <v>116</v>
      </c>
      <c r="B127" s="41">
        <v>49236</v>
      </c>
      <c r="C127" s="40" t="str">
        <f>'[2]Evalution 25'!B117</f>
        <v>Mohamed Emadeldin Mahmoud Mohamed Elsemary</v>
      </c>
      <c r="D127" s="42">
        <v>45419</v>
      </c>
      <c r="E127" s="40" t="str">
        <f>'[2]Evalution 25'!C117</f>
        <v>Cairo</v>
      </c>
      <c r="F127" s="40" t="str">
        <f>'[2]Evalution 25'!E117</f>
        <v>Accounting Supervisor</v>
      </c>
      <c r="G127" s="40" t="str">
        <f>'[2]Evalution 25'!D117</f>
        <v>Finance</v>
      </c>
      <c r="H127" s="40" t="s">
        <v>554</v>
      </c>
      <c r="I127" s="40" t="s">
        <v>554</v>
      </c>
      <c r="J127" s="40" t="str">
        <f t="shared" si="7"/>
        <v>NA</v>
      </c>
      <c r="K127" s="40">
        <f>'[2]Evalutaion 24'!G98</f>
        <v>4</v>
      </c>
      <c r="L127" s="40">
        <f>'[2]Evalutaion 24'!H98</f>
        <v>4</v>
      </c>
      <c r="M127" s="40">
        <f t="shared" si="8"/>
        <v>4</v>
      </c>
      <c r="N127" s="40">
        <f>'[2]Evalution 25'!G117</f>
        <v>3.5</v>
      </c>
      <c r="O127" s="40">
        <f>'[2]Evalution 25'!H117</f>
        <v>3.3</v>
      </c>
      <c r="P127" s="40">
        <f t="shared" si="9"/>
        <v>3.4</v>
      </c>
      <c r="Q127" s="43">
        <f t="shared" si="13"/>
        <v>2.4666666666666668</v>
      </c>
      <c r="R127" s="43" t="str">
        <f t="shared" si="10"/>
        <v>Average</v>
      </c>
      <c r="S127" s="45" t="str">
        <f>IFERROR( _xlfn.XLOOKUP(Q127,[2]Result!$A$7:$A$15,[2]Result!$C$7:$C$15,"Out of range",-1),"N/A")</f>
        <v>2A</v>
      </c>
      <c r="T127" s="43" t="str">
        <f t="shared" si="14"/>
        <v>NA</v>
      </c>
      <c r="U127" s="25" t="str" cm="1">
        <f t="array" ref="U127">IF(OR(J127="NA",J127="NR",ISBLANK(J127)),J127,IFERROR(INDEX([2]Result!$C$7:$C$15,MATCH(1,(J127&gt;=[2]Result!$A$7:$A$15)*(J127&lt;=[2]Result!$B$7:$B$15),0)), "NA"))</f>
        <v>NA</v>
      </c>
      <c r="V127" s="25">
        <f t="shared" si="12"/>
        <v>4</v>
      </c>
      <c r="W127" s="25" t="str" cm="1">
        <f t="array" ref="W127">IF(OR(M127="NA",M127="NR",ISBLANK(M127)),M127,IFERROR(INDEX([2]Result!$C$7:$C$15,MATCH(1,(M127&gt;=[2]Result!$A$7:$A$15)*(M127&lt;=[2]Result!$B$7:$B$15),0)), "NA"))</f>
        <v>3A</v>
      </c>
    </row>
    <row r="128" spans="1:23" ht="15.75" x14ac:dyDescent="0.25">
      <c r="A128" s="40">
        <v>117</v>
      </c>
      <c r="B128" s="41">
        <v>6590</v>
      </c>
      <c r="C128" s="40" t="str">
        <f>'[2]Evalution 25'!B118</f>
        <v>Hossam Hassan Mohamed Allam</v>
      </c>
      <c r="D128" s="42">
        <v>44347</v>
      </c>
      <c r="E128" s="40" t="str">
        <f>'[2]Evalution 25'!C118</f>
        <v>Riyadh</v>
      </c>
      <c r="F128" s="40" t="str">
        <f>'[2]Evalution 25'!E118</f>
        <v>Accountant Supervisor</v>
      </c>
      <c r="G128" s="40" t="str">
        <f>'[2]Evalution 25'!D118</f>
        <v>Finance</v>
      </c>
      <c r="H128" s="40">
        <f>'[2]Evalutaion 23'!G78</f>
        <v>0</v>
      </c>
      <c r="I128" s="40">
        <f>'[2]Evalutaion 23'!H78</f>
        <v>3</v>
      </c>
      <c r="J128" s="40">
        <f t="shared" si="7"/>
        <v>1.5</v>
      </c>
      <c r="K128" s="40">
        <f>'[2]Evalutaion 24'!G99</f>
        <v>3</v>
      </c>
      <c r="L128" s="40">
        <f>'[2]Evalutaion 24'!H99</f>
        <v>3</v>
      </c>
      <c r="M128" s="40">
        <f t="shared" si="8"/>
        <v>3</v>
      </c>
      <c r="N128" s="40">
        <f>'[2]Evalution 25'!G118</f>
        <v>3.2</v>
      </c>
      <c r="O128" s="40">
        <f>'[2]Evalution 25'!H118</f>
        <v>3</v>
      </c>
      <c r="P128" s="40">
        <f t="shared" si="9"/>
        <v>3.1</v>
      </c>
      <c r="Q128" s="43">
        <f t="shared" si="13"/>
        <v>1.9</v>
      </c>
      <c r="R128" s="43" t="str">
        <f t="shared" si="10"/>
        <v>Average</v>
      </c>
      <c r="S128" s="48" t="str">
        <f>IFERROR( _xlfn.XLOOKUP(Q128,[2]Result!$A$7:$A$15,[2]Result!$C$7:$C$15,"Out of range",-1),"N/A")</f>
        <v>1C</v>
      </c>
      <c r="T128" s="43">
        <f t="shared" si="14"/>
        <v>1.5</v>
      </c>
      <c r="U128" s="25" t="str" cm="1">
        <f t="array" ref="U128">IF(OR(J128="NA",J128="NR",ISBLANK(J128)),J128,IFERROR(INDEX([2]Result!$C$7:$C$15,MATCH(1,(J128&gt;=[2]Result!$A$7:$A$15)*(J128&lt;=[2]Result!$B$7:$B$15),0)), "NA"))</f>
        <v>1B</v>
      </c>
      <c r="V128" s="25">
        <f t="shared" si="12"/>
        <v>3</v>
      </c>
      <c r="W128" s="25" t="str" cm="1">
        <f t="array" ref="W128">IF(OR(M128="NA",M128="NR",ISBLANK(M128)),M128,IFERROR(INDEX([2]Result!$C$7:$C$15,MATCH(1,(M128&gt;=[2]Result!$A$7:$A$15)*(M128&lt;=[2]Result!$B$7:$B$15),0)), "NA"))</f>
        <v>2B</v>
      </c>
    </row>
    <row r="129" spans="1:23" ht="15.75" x14ac:dyDescent="0.25">
      <c r="A129" s="40">
        <v>118</v>
      </c>
      <c r="B129" s="41">
        <v>6551</v>
      </c>
      <c r="C129" s="40" t="str">
        <f>'[2]Evalution 25'!B119</f>
        <v>Mohamed Gamal Eldeen Mohamed Seweafi</v>
      </c>
      <c r="D129" s="42">
        <v>44197</v>
      </c>
      <c r="E129" s="40" t="str">
        <f>'[2]Evalution 25'!C119</f>
        <v>Cairo</v>
      </c>
      <c r="F129" s="40" t="str">
        <f>'[2]Evalution 25'!E119</f>
        <v>Associate Director</v>
      </c>
      <c r="G129" s="40" t="str">
        <f>'[2]Evalution 25'!D119</f>
        <v>Agency Partnerships</v>
      </c>
      <c r="H129" s="40">
        <f>'[2]Evalutaion 23'!G79</f>
        <v>3.7</v>
      </c>
      <c r="I129" s="40">
        <f>'[2]Evalutaion 23'!H79</f>
        <v>3.5</v>
      </c>
      <c r="J129" s="40">
        <f t="shared" si="7"/>
        <v>3.6</v>
      </c>
      <c r="K129" s="40">
        <f>'[2]Evalutaion 24'!G100</f>
        <v>3.9</v>
      </c>
      <c r="L129" s="40">
        <f>'[2]Evalutaion 24'!H100</f>
        <v>3.7</v>
      </c>
      <c r="M129" s="40">
        <f t="shared" si="8"/>
        <v>3.8</v>
      </c>
      <c r="N129" s="40">
        <f>'[2]Evalution 25'!G119</f>
        <v>4.3</v>
      </c>
      <c r="O129" s="40">
        <f>'[2]Evalution 25'!H119</f>
        <v>3.8</v>
      </c>
      <c r="P129" s="40">
        <f t="shared" si="9"/>
        <v>4.05</v>
      </c>
      <c r="Q129" s="43">
        <f t="shared" si="13"/>
        <v>2.8624999999999998</v>
      </c>
      <c r="R129" s="43" t="str">
        <f t="shared" si="10"/>
        <v>High</v>
      </c>
      <c r="S129" s="45" t="str">
        <f>IFERROR( _xlfn.XLOOKUP(Q129,[2]Result!$A$7:$A$15,[2]Result!$C$7:$C$15,"Out of range",-1),"N/A")</f>
        <v>2B</v>
      </c>
      <c r="T129" s="43">
        <f t="shared" si="14"/>
        <v>3.6</v>
      </c>
      <c r="U129" s="25" t="str" cm="1">
        <f t="array" ref="U129">IF(OR(J129="NA",J129="NR",ISBLANK(J129)),J129,IFERROR(INDEX([2]Result!$C$7:$C$15,MATCH(1,(J129&gt;=[2]Result!$A$7:$A$15)*(J129&lt;=[2]Result!$B$7:$B$15),0)), "NA"))</f>
        <v>3A</v>
      </c>
      <c r="V129" s="25">
        <f t="shared" si="12"/>
        <v>3.8</v>
      </c>
      <c r="W129" s="25" t="str" cm="1">
        <f t="array" ref="W129">IF(OR(M129="NA",M129="NR",ISBLANK(M129)),M129,IFERROR(INDEX([2]Result!$C$7:$C$15,MATCH(1,(M129&gt;=[2]Result!$A$7:$A$15)*(M129&lt;=[2]Result!$B$7:$B$15),0)), "NA"))</f>
        <v>3A</v>
      </c>
    </row>
    <row r="130" spans="1:23" ht="15.75" x14ac:dyDescent="0.25">
      <c r="A130" s="40">
        <v>119</v>
      </c>
      <c r="B130" s="41">
        <v>6593</v>
      </c>
      <c r="C130" s="40" t="str">
        <f>'[2]Evalution 25'!B120</f>
        <v>Mohamed Hamed Ramadan Abdo Atta</v>
      </c>
      <c r="D130" s="42">
        <v>44371</v>
      </c>
      <c r="E130" s="40" t="str">
        <f>'[2]Evalution 25'!C120</f>
        <v>Cairo</v>
      </c>
      <c r="F130" s="40" t="str">
        <f>'[2]Evalution 25'!E120</f>
        <v>Runner</v>
      </c>
      <c r="G130" s="40" t="str">
        <f>'[2]Evalution 25'!D120</f>
        <v>Admin</v>
      </c>
      <c r="H130" s="40">
        <f>'[2]Evalutaion 23'!G80</f>
        <v>4</v>
      </c>
      <c r="I130" s="40">
        <f>'[2]Evalutaion 23'!H80</f>
        <v>4</v>
      </c>
      <c r="J130" s="40">
        <f t="shared" si="7"/>
        <v>4</v>
      </c>
      <c r="K130" s="40">
        <f>'[2]Evalutaion 24'!G108</f>
        <v>2</v>
      </c>
      <c r="L130" s="40">
        <f>'[2]Evalutaion 24'!H108</f>
        <v>2</v>
      </c>
      <c r="M130" s="40">
        <f t="shared" si="8"/>
        <v>2</v>
      </c>
      <c r="N130" s="40">
        <f>'[2]Evalution 25'!G131</f>
        <v>3.5</v>
      </c>
      <c r="O130" s="40">
        <f>'[2]Evalution 25'!H131</f>
        <v>3.7</v>
      </c>
      <c r="P130" s="40">
        <f t="shared" si="9"/>
        <v>3.6</v>
      </c>
      <c r="Q130" s="43">
        <f t="shared" si="13"/>
        <v>2.4</v>
      </c>
      <c r="R130" s="43" t="str">
        <f t="shared" si="10"/>
        <v>Average</v>
      </c>
      <c r="S130" s="44" t="str">
        <f>IFERROR( _xlfn.XLOOKUP(Q130,[2]Result!$A$7:$A$15,[2]Result!$C$7:$C$15,"Out of range",-1),"N/A")</f>
        <v>2A</v>
      </c>
      <c r="T130" s="43">
        <f t="shared" si="14"/>
        <v>4</v>
      </c>
      <c r="U130" s="25" t="str" cm="1">
        <f t="array" ref="U130">IF(OR(J130="NA",J130="NR",ISBLANK(J130)),J130,IFERROR(INDEX([2]Result!$C$7:$C$15,MATCH(1,(J130&gt;=[2]Result!$A$7:$A$15)*(J130&lt;=[2]Result!$B$7:$B$15),0)), "NA"))</f>
        <v>3A</v>
      </c>
      <c r="V130" s="25">
        <f t="shared" si="12"/>
        <v>2</v>
      </c>
      <c r="W130" s="25" t="str" cm="1">
        <f t="array" ref="W130">IF(OR(M130="NA",M130="NR",ISBLANK(M130)),M130,IFERROR(INDEX([2]Result!$C$7:$C$15,MATCH(1,(M130&gt;=[2]Result!$A$7:$A$15)*(M130&lt;=[2]Result!$B$7:$B$15),0)), "NA"))</f>
        <v>1C</v>
      </c>
    </row>
    <row r="131" spans="1:23" ht="15.75" x14ac:dyDescent="0.25">
      <c r="A131" s="40">
        <v>120</v>
      </c>
      <c r="B131" s="41">
        <v>6515</v>
      </c>
      <c r="C131" s="40" t="str">
        <f>'[2]Evalution 25'!B121</f>
        <v>Mohamed Ibrahim Mohamed Nour</v>
      </c>
      <c r="D131" s="42">
        <v>45572</v>
      </c>
      <c r="E131" s="40" t="str">
        <f>'[2]Evalution 25'!C121</f>
        <v>Dubai</v>
      </c>
      <c r="F131" s="40" t="str">
        <f>'[2]Evalution 25'!E121</f>
        <v>IT Engineer</v>
      </c>
      <c r="G131" s="40" t="str">
        <f>'[2]Evalution 25'!D121</f>
        <v>Technology</v>
      </c>
      <c r="H131" s="40">
        <f>'[2]Evalutaion 23'!G81</f>
        <v>4.5999999999999996</v>
      </c>
      <c r="I131" s="40">
        <f>'[2]Evalutaion 23'!H81</f>
        <v>4.5</v>
      </c>
      <c r="J131" s="40">
        <f t="shared" si="7"/>
        <v>4.55</v>
      </c>
      <c r="K131" s="40">
        <f>'[2]Evalutaion 24'!G102</f>
        <v>4</v>
      </c>
      <c r="L131" s="40">
        <f>'[2]Evalutaion 24'!H102</f>
        <v>4</v>
      </c>
      <c r="M131" s="40">
        <f t="shared" si="8"/>
        <v>4</v>
      </c>
      <c r="N131" s="40">
        <f>'[2]Evalution 25'!G121</f>
        <v>4.5999999999999996</v>
      </c>
      <c r="O131" s="40">
        <f>'[2]Evalution 25'!H121</f>
        <v>4.5</v>
      </c>
      <c r="P131" s="40">
        <f t="shared" si="9"/>
        <v>4.55</v>
      </c>
      <c r="Q131" s="43">
        <f t="shared" si="13"/>
        <v>3.2750000000000004</v>
      </c>
      <c r="R131" s="43" t="str">
        <f t="shared" si="10"/>
        <v>High</v>
      </c>
      <c r="S131" s="44" t="str">
        <f>IFERROR( _xlfn.XLOOKUP(Q131,[2]Result!$A$7:$A$15,[2]Result!$C$7:$C$15,"Out of range",-1),"N/A")</f>
        <v>2C</v>
      </c>
      <c r="T131" s="43" t="str">
        <f t="shared" si="14"/>
        <v>NA</v>
      </c>
      <c r="U131" s="25" t="str" cm="1">
        <f t="array" ref="U131">IF(OR(J131="NA",J131="NR",ISBLANK(J131)),J131,IFERROR(INDEX([2]Result!$C$7:$C$15,MATCH(1,(J131&gt;=[2]Result!$A$7:$A$15)*(J131&lt;=[2]Result!$B$7:$B$15),0)), "NA"))</f>
        <v>NA</v>
      </c>
      <c r="V131" s="25">
        <f t="shared" si="12"/>
        <v>4</v>
      </c>
      <c r="W131" s="25" t="str" cm="1">
        <f t="array" ref="W131">IF(OR(M131="NA",M131="NR",ISBLANK(M131)),M131,IFERROR(INDEX([2]Result!$C$7:$C$15,MATCH(1,(M131&gt;=[2]Result!$A$7:$A$15)*(M131&lt;=[2]Result!$B$7:$B$15),0)), "NA"))</f>
        <v>3A</v>
      </c>
    </row>
    <row r="132" spans="1:23" ht="15.75" x14ac:dyDescent="0.25">
      <c r="A132" s="40">
        <v>121</v>
      </c>
      <c r="B132" s="41">
        <v>48483</v>
      </c>
      <c r="C132" s="40" t="str">
        <f>'[2]Evalution 25'!B122</f>
        <v>Abdullah Abdulrahman Abdullah Aldakhil</v>
      </c>
      <c r="D132" s="42">
        <v>45271</v>
      </c>
      <c r="E132" s="40" t="str">
        <f>'[2]Evalution 25'!C122</f>
        <v>Riyadh</v>
      </c>
      <c r="F132" s="40" t="str">
        <f>'[2]Evalution 25'!E122</f>
        <v>Accountant Executive</v>
      </c>
      <c r="G132" s="40" t="str">
        <f>'[2]Evalution 25'!D122</f>
        <v>Finance</v>
      </c>
      <c r="H132" s="40" t="s">
        <v>554</v>
      </c>
      <c r="I132" s="40" t="s">
        <v>554</v>
      </c>
      <c r="J132" s="40" t="str">
        <f t="shared" si="7"/>
        <v>NR</v>
      </c>
      <c r="K132" s="40">
        <f>'[2]Evalutaion 24'!G103</f>
        <v>4</v>
      </c>
      <c r="L132" s="40">
        <f>'[2]Evalutaion 24'!H103</f>
        <v>4</v>
      </c>
      <c r="M132" s="40">
        <f t="shared" si="8"/>
        <v>4</v>
      </c>
      <c r="N132" s="40">
        <f>'[2]Evalution 25'!G122</f>
        <v>3</v>
      </c>
      <c r="O132" s="40">
        <f>'[2]Evalution 25'!H122</f>
        <v>3</v>
      </c>
      <c r="P132" s="40">
        <f t="shared" si="9"/>
        <v>3</v>
      </c>
      <c r="Q132" s="43">
        <f t="shared" si="13"/>
        <v>2.3333333333333335</v>
      </c>
      <c r="R132" s="43" t="str">
        <f t="shared" si="10"/>
        <v>Average</v>
      </c>
      <c r="S132" s="44" t="str">
        <f>IFERROR( _xlfn.XLOOKUP(Q132,[2]Result!$A$7:$A$15,[2]Result!$C$7:$C$15,"Out of range",-1),"N/A")</f>
        <v>2A</v>
      </c>
      <c r="T132" s="43" t="str">
        <f t="shared" si="14"/>
        <v>NR</v>
      </c>
      <c r="U132" s="25" t="str" cm="1">
        <f t="array" ref="U132">IF(OR(J132="NA",J132="NR",ISBLANK(J132)),J132,IFERROR(INDEX([2]Result!$C$7:$C$15,MATCH(1,(J132&gt;=[2]Result!$A$7:$A$15)*(J132&lt;=[2]Result!$B$7:$B$15),0)), "NA"))</f>
        <v>NR</v>
      </c>
      <c r="V132" s="25">
        <f t="shared" si="12"/>
        <v>4</v>
      </c>
      <c r="W132" s="25" t="str" cm="1">
        <f t="array" ref="W132">IF(OR(M132="NA",M132="NR",ISBLANK(M132)),M132,IFERROR(INDEX([2]Result!$C$7:$C$15,MATCH(1,(M132&gt;=[2]Result!$A$7:$A$15)*(M132&lt;=[2]Result!$B$7:$B$15),0)), "NA"))</f>
        <v>3A</v>
      </c>
    </row>
    <row r="133" spans="1:23" ht="15.75" x14ac:dyDescent="0.25">
      <c r="A133" s="40">
        <v>122</v>
      </c>
      <c r="B133" s="41">
        <v>6651</v>
      </c>
      <c r="C133" s="40" t="str">
        <f>'[2]Evalution 25'!B123</f>
        <v>Eslam Sayed</v>
      </c>
      <c r="D133" s="42">
        <v>45830</v>
      </c>
      <c r="E133" s="40" t="str">
        <f>'[2]Evalution 25'!C123</f>
        <v>Cairo</v>
      </c>
      <c r="F133" s="40" t="str">
        <f>'[2]Evalution 25'!E123</f>
        <v>AR Senior Accountant</v>
      </c>
      <c r="G133" s="40" t="str">
        <f>'[2]Evalution 25'!D123</f>
        <v>Finance</v>
      </c>
      <c r="H133" s="40" t="s">
        <v>554</v>
      </c>
      <c r="I133" s="40" t="s">
        <v>554</v>
      </c>
      <c r="J133" s="40" t="str">
        <f t="shared" si="7"/>
        <v>NA</v>
      </c>
      <c r="K133" s="40" t="s">
        <v>554</v>
      </c>
      <c r="L133" s="40" t="s">
        <v>554</v>
      </c>
      <c r="M133" s="40" t="str">
        <f t="shared" si="8"/>
        <v>NA</v>
      </c>
      <c r="N133" s="40">
        <f>'[2]Evalution 25'!G123</f>
        <v>3</v>
      </c>
      <c r="O133" s="40">
        <f>'[2]Evalution 25'!H123</f>
        <v>3</v>
      </c>
      <c r="P133" s="40">
        <f t="shared" si="9"/>
        <v>3</v>
      </c>
      <c r="Q133" s="43">
        <f t="shared" si="13"/>
        <v>1.5</v>
      </c>
      <c r="R133" s="43" t="str">
        <f t="shared" si="10"/>
        <v>Average</v>
      </c>
      <c r="S133" s="45" t="str">
        <f>IFERROR( _xlfn.XLOOKUP(Q133,[2]Result!$A$7:$A$15,[2]Result!$C$7:$C$15,"Out of range",-1),"N/A")</f>
        <v>1B</v>
      </c>
      <c r="T133" s="43" t="str">
        <f t="shared" si="14"/>
        <v>NA</v>
      </c>
      <c r="U133" s="25" t="str" cm="1">
        <f t="array" ref="U133">IF(OR(J133="NA",J133="NR",ISBLANK(J133)),J133,IFERROR(INDEX([2]Result!$C$7:$C$15,MATCH(1,(J133&gt;=[2]Result!$A$7:$A$15)*(J133&lt;=[2]Result!$B$7:$B$15),0)), "NA"))</f>
        <v>NA</v>
      </c>
      <c r="V133" s="25" t="str">
        <f t="shared" si="12"/>
        <v>NA</v>
      </c>
      <c r="W133" s="25" t="str" cm="1">
        <f t="array" ref="W133">IF(OR(M133="NA",M133="NR",ISBLANK(M133)),M133,IFERROR(INDEX([2]Result!$C$7:$C$15,MATCH(1,(M133&gt;=[2]Result!$A$7:$A$15)*(M133&lt;=[2]Result!$B$7:$B$15),0)), "NA"))</f>
        <v>NA</v>
      </c>
    </row>
    <row r="134" spans="1:23" ht="15.75" x14ac:dyDescent="0.25">
      <c r="A134" s="40">
        <v>123</v>
      </c>
      <c r="B134" s="41">
        <v>6556</v>
      </c>
      <c r="C134" s="40" t="str">
        <f>'[2]Evalution 25'!B124</f>
        <v>Mohamed Mostafa Youssef Mohamed</v>
      </c>
      <c r="D134" s="42">
        <v>44220</v>
      </c>
      <c r="E134" s="40" t="str">
        <f>'[2]Evalution 25'!C124</f>
        <v>Cairo</v>
      </c>
      <c r="F134" s="40" t="str">
        <f>'[2]Evalution 25'!E124</f>
        <v>Traffic Supervisor</v>
      </c>
      <c r="G134" s="40" t="str">
        <f>'[2]Evalution 25'!D124</f>
        <v>Traffic</v>
      </c>
      <c r="H134" s="40">
        <f>'[2]Evalutaion 23'!G82</f>
        <v>4.2</v>
      </c>
      <c r="I134" s="40">
        <f>'[2]Evalutaion 23'!H82</f>
        <v>4.3</v>
      </c>
      <c r="J134" s="40">
        <f t="shared" si="7"/>
        <v>4.25</v>
      </c>
      <c r="K134" s="40">
        <f>'[2]Evalutaion 24'!G104</f>
        <v>3.9</v>
      </c>
      <c r="L134" s="40">
        <f>'[2]Evalutaion 24'!H104</f>
        <v>4</v>
      </c>
      <c r="M134" s="40">
        <f t="shared" si="8"/>
        <v>3.95</v>
      </c>
      <c r="N134" s="40">
        <f>'[2]Evalution 25'!G124</f>
        <v>3.9</v>
      </c>
      <c r="O134" s="40">
        <f>'[2]Evalution 25'!H124</f>
        <v>3.7</v>
      </c>
      <c r="P134" s="40">
        <f t="shared" si="9"/>
        <v>3.8</v>
      </c>
      <c r="Q134" s="43">
        <f t="shared" si="13"/>
        <v>3</v>
      </c>
      <c r="R134" s="43" t="str">
        <f t="shared" si="10"/>
        <v>High</v>
      </c>
      <c r="S134" s="45" t="str">
        <f>IFERROR( _xlfn.XLOOKUP(Q134,[2]Result!$A$7:$A$15,[2]Result!$C$7:$C$15,"Out of range",-1),"N/A")</f>
        <v>2B</v>
      </c>
      <c r="T134" s="43">
        <f t="shared" si="14"/>
        <v>4.25</v>
      </c>
      <c r="U134" s="25" t="str" cm="1">
        <f t="array" ref="U134">IF(OR(J134="NA",J134="NR",ISBLANK(J134)),J134,IFERROR(INDEX([2]Result!$C$7:$C$15,MATCH(1,(J134&gt;=[2]Result!$A$7:$A$15)*(J134&lt;=[2]Result!$B$7:$B$15),0)), "NA"))</f>
        <v>3B</v>
      </c>
      <c r="V134" s="25">
        <f t="shared" si="12"/>
        <v>3.95</v>
      </c>
      <c r="W134" s="25" t="str" cm="1">
        <f t="array" ref="W134">IF(OR(M134="NA",M134="NR",ISBLANK(M134)),M134,IFERROR(INDEX([2]Result!$C$7:$C$15,MATCH(1,(M134&gt;=[2]Result!$A$7:$A$15)*(M134&lt;=[2]Result!$B$7:$B$15),0)), "NA"))</f>
        <v>3A</v>
      </c>
    </row>
    <row r="135" spans="1:23" ht="15.75" x14ac:dyDescent="0.25">
      <c r="A135" s="40">
        <v>124</v>
      </c>
      <c r="B135" s="41">
        <v>48408</v>
      </c>
      <c r="C135" s="40" t="str">
        <f>'[2]Evalution 25'!B125</f>
        <v>Hossam Atef Abdo Mohamed</v>
      </c>
      <c r="D135" s="42">
        <v>45292</v>
      </c>
      <c r="E135" s="40" t="str">
        <f>'[2]Evalution 25'!C125</f>
        <v>Cairo</v>
      </c>
      <c r="F135" s="40" t="str">
        <f>'[2]Evalution 25'!E125</f>
        <v>AR Senior Accountant</v>
      </c>
      <c r="G135" s="40" t="str">
        <f>'[2]Evalution 25'!D125</f>
        <v>Finance</v>
      </c>
      <c r="H135" s="40" t="s">
        <v>554</v>
      </c>
      <c r="I135" s="40" t="s">
        <v>554</v>
      </c>
      <c r="J135" s="40" t="str">
        <f t="shared" si="7"/>
        <v>NA</v>
      </c>
      <c r="K135" s="40">
        <f>'[2]Evalutaion 24'!G105</f>
        <v>3</v>
      </c>
      <c r="L135" s="40">
        <f>'[2]Evalutaion 24'!H105</f>
        <v>3</v>
      </c>
      <c r="M135" s="40">
        <f t="shared" si="8"/>
        <v>3</v>
      </c>
      <c r="N135" s="40">
        <f>'[2]Evalution 25'!G125</f>
        <v>3</v>
      </c>
      <c r="O135" s="40">
        <f>'[2]Evalution 25'!H125</f>
        <v>3</v>
      </c>
      <c r="P135" s="40">
        <f t="shared" si="9"/>
        <v>3</v>
      </c>
      <c r="Q135" s="43">
        <f t="shared" si="13"/>
        <v>2</v>
      </c>
      <c r="R135" s="43" t="str">
        <f t="shared" si="10"/>
        <v>Average</v>
      </c>
      <c r="S135" s="45" t="str">
        <f>IFERROR( _xlfn.XLOOKUP(Q135,[2]Result!$A$7:$A$15,[2]Result!$C$7:$C$15,"Out of range",-1),"N/A")</f>
        <v>1C</v>
      </c>
      <c r="T135" s="43" t="str">
        <f t="shared" si="14"/>
        <v>NA</v>
      </c>
      <c r="U135" s="25" t="str" cm="1">
        <f t="array" ref="U135">IF(OR(J135="NA",J135="NR",ISBLANK(J135)),J135,IFERROR(INDEX([2]Result!$C$7:$C$15,MATCH(1,(J135&gt;=[2]Result!$A$7:$A$15)*(J135&lt;=[2]Result!$B$7:$B$15),0)), "NA"))</f>
        <v>NA</v>
      </c>
      <c r="V135" s="25">
        <f t="shared" si="12"/>
        <v>3</v>
      </c>
      <c r="W135" s="25" t="str" cm="1">
        <f t="array" ref="W135">IF(OR(M135="NA",M135="NR",ISBLANK(M135)),M135,IFERROR(INDEX([2]Result!$C$7:$C$15,MATCH(1,(M135&gt;=[2]Result!$A$7:$A$15)*(M135&lt;=[2]Result!$B$7:$B$15),0)), "NA"))</f>
        <v>2B</v>
      </c>
    </row>
    <row r="136" spans="1:23" ht="15.75" x14ac:dyDescent="0.25">
      <c r="A136" s="40">
        <v>125</v>
      </c>
      <c r="B136" s="41">
        <v>50039</v>
      </c>
      <c r="C136" s="40" t="str">
        <f>'[2]Evalution 25'!B126</f>
        <v>Ibrahim Abdelnaby Elleithy Taha</v>
      </c>
      <c r="D136" s="42">
        <v>45648</v>
      </c>
      <c r="E136" s="40" t="str">
        <f>'[2]Evalution 25'!C126</f>
        <v>Cairo</v>
      </c>
      <c r="F136" s="40" t="str">
        <f>'[2]Evalution 25'!E126</f>
        <v>Junior AR Accountant</v>
      </c>
      <c r="G136" s="40" t="str">
        <f>'[2]Evalution 25'!D126</f>
        <v>Finance</v>
      </c>
      <c r="H136" s="40" t="s">
        <v>554</v>
      </c>
      <c r="I136" s="40" t="s">
        <v>554</v>
      </c>
      <c r="J136" s="40" t="str">
        <f t="shared" si="7"/>
        <v>NA</v>
      </c>
      <c r="K136" s="40" t="s">
        <v>554</v>
      </c>
      <c r="L136" s="40" t="s">
        <v>554</v>
      </c>
      <c r="M136" s="40" t="str">
        <f t="shared" si="8"/>
        <v>NR</v>
      </c>
      <c r="N136" s="40">
        <f>'[2]Evalution 25'!G126</f>
        <v>3</v>
      </c>
      <c r="O136" s="40">
        <f>'[2]Evalution 25'!H126</f>
        <v>3</v>
      </c>
      <c r="P136" s="40">
        <f t="shared" si="9"/>
        <v>3</v>
      </c>
      <c r="Q136" s="43">
        <f t="shared" si="13"/>
        <v>1.5</v>
      </c>
      <c r="R136" s="43" t="str">
        <f t="shared" si="10"/>
        <v>Average</v>
      </c>
      <c r="S136" s="45" t="str">
        <f>IFERROR( _xlfn.XLOOKUP(Q136,[2]Result!$A$7:$A$15,[2]Result!$C$7:$C$15,"Out of range",-1),"N/A")</f>
        <v>1B</v>
      </c>
      <c r="T136" s="43" t="str">
        <f t="shared" si="14"/>
        <v>NA</v>
      </c>
      <c r="U136" s="25" t="str" cm="1">
        <f t="array" ref="U136">IF(OR(J136="NA",J136="NR",ISBLANK(J136)),J136,IFERROR(INDEX([2]Result!$C$7:$C$15,MATCH(1,(J136&gt;=[2]Result!$A$7:$A$15)*(J136&lt;=[2]Result!$B$7:$B$15),0)), "NA"))</f>
        <v>NA</v>
      </c>
      <c r="V136" s="25" t="str">
        <f t="shared" si="12"/>
        <v>NR</v>
      </c>
      <c r="W136" s="25" t="str" cm="1">
        <f t="array" ref="W136">IF(OR(M136="NA",M136="NR",ISBLANK(M136)),M136,IFERROR(INDEX([2]Result!$C$7:$C$15,MATCH(1,(M136&gt;=[2]Result!$A$7:$A$15)*(M136&lt;=[2]Result!$B$7:$B$15),0)), "NA"))</f>
        <v>NR</v>
      </c>
    </row>
    <row r="137" spans="1:23" ht="15.75" x14ac:dyDescent="0.25">
      <c r="A137" s="40">
        <v>126</v>
      </c>
      <c r="B137" s="41">
        <v>6562</v>
      </c>
      <c r="C137" s="40" t="str">
        <f>'[2]Evalution 25'!B127</f>
        <v>Mohsen Sayed Abdrabo Mahmoud</v>
      </c>
      <c r="D137" s="42">
        <v>44258</v>
      </c>
      <c r="E137" s="40" t="str">
        <f>'[2]Evalution 25'!C127</f>
        <v>Cairo</v>
      </c>
      <c r="F137" s="40" t="str">
        <f>'[2]Evalution 25'!E127</f>
        <v>Traffic Supervisor</v>
      </c>
      <c r="G137" s="40" t="str">
        <f>'[2]Evalution 25'!D127</f>
        <v>Traffic</v>
      </c>
      <c r="H137" s="40">
        <f>'[2]Evalutaion 23'!G83</f>
        <v>4</v>
      </c>
      <c r="I137" s="40">
        <f>'[2]Evalutaion 23'!H83</f>
        <v>3.8</v>
      </c>
      <c r="J137" s="40">
        <f t="shared" si="7"/>
        <v>3.9</v>
      </c>
      <c r="K137" s="40">
        <f>'[2]Evalutaion 24'!G106</f>
        <v>3.8</v>
      </c>
      <c r="L137" s="40">
        <f>'[2]Evalutaion 24'!H106</f>
        <v>4</v>
      </c>
      <c r="M137" s="40">
        <f t="shared" si="8"/>
        <v>3.9</v>
      </c>
      <c r="N137" s="40">
        <f>'[2]Evalution 25'!G127</f>
        <v>3.7</v>
      </c>
      <c r="O137" s="40">
        <f>'[2]Evalution 25'!H127</f>
        <v>4</v>
      </c>
      <c r="P137" s="40">
        <f t="shared" si="9"/>
        <v>3.85</v>
      </c>
      <c r="Q137" s="43">
        <f t="shared" si="13"/>
        <v>2.9125000000000001</v>
      </c>
      <c r="R137" s="43" t="str">
        <f t="shared" si="10"/>
        <v>High</v>
      </c>
      <c r="S137" s="45" t="str">
        <f>IFERROR( _xlfn.XLOOKUP(Q137,[2]Result!$A$7:$A$15,[2]Result!$C$7:$C$15,"Out of range",-1),"N/A")</f>
        <v>2B</v>
      </c>
      <c r="T137" s="43">
        <f t="shared" si="14"/>
        <v>3.9</v>
      </c>
      <c r="U137" s="25" t="str" cm="1">
        <f t="array" ref="U137">IF(OR(J137="NA",J137="NR",ISBLANK(J137)),J137,IFERROR(INDEX([2]Result!$C$7:$C$15,MATCH(1,(J137&gt;=[2]Result!$A$7:$A$15)*(J137&lt;=[2]Result!$B$7:$B$15),0)), "NA"))</f>
        <v>3A</v>
      </c>
      <c r="V137" s="25">
        <f t="shared" si="12"/>
        <v>3.9</v>
      </c>
      <c r="W137" s="25" t="str" cm="1">
        <f t="array" ref="W137">IF(OR(M137="NA",M137="NR",ISBLANK(M137)),M137,IFERROR(INDEX([2]Result!$C$7:$C$15,MATCH(1,(M137&gt;=[2]Result!$A$7:$A$15)*(M137&lt;=[2]Result!$B$7:$B$15),0)), "NA"))</f>
        <v>3A</v>
      </c>
    </row>
    <row r="138" spans="1:23" ht="15.75" x14ac:dyDescent="0.25">
      <c r="A138" s="40">
        <v>127</v>
      </c>
      <c r="B138" s="41">
        <v>48842</v>
      </c>
      <c r="C138" s="40" t="str">
        <f>'[2]Evalution 25'!B128</f>
        <v>Monerah Ibrahim Alzamil</v>
      </c>
      <c r="D138" s="42">
        <v>45340</v>
      </c>
      <c r="E138" s="40" t="str">
        <f>'[2]Evalution 25'!C128</f>
        <v>Riyadh</v>
      </c>
      <c r="F138" s="40" t="str">
        <f>'[2]Evalution 25'!E128</f>
        <v>Client Growth Senior Executive</v>
      </c>
      <c r="G138" s="40" t="str">
        <f>'[2]Evalution 25'!D128</f>
        <v>Client Growth</v>
      </c>
      <c r="H138" s="40" t="s">
        <v>554</v>
      </c>
      <c r="I138" s="40" t="s">
        <v>554</v>
      </c>
      <c r="J138" s="40" t="str">
        <f t="shared" si="7"/>
        <v>NA</v>
      </c>
      <c r="K138" s="40">
        <f>'[2]Evalutaion 24'!G107</f>
        <v>4.3</v>
      </c>
      <c r="L138" s="40">
        <f>'[2]Evalutaion 24'!H107</f>
        <v>4.3</v>
      </c>
      <c r="M138" s="40">
        <f t="shared" si="8"/>
        <v>4.3</v>
      </c>
      <c r="N138" s="40">
        <f>'[2]Evalution 25'!G128</f>
        <v>4.8</v>
      </c>
      <c r="O138" s="40">
        <f>'[2]Evalution 25'!H128</f>
        <v>4.7</v>
      </c>
      <c r="P138" s="40">
        <f t="shared" si="9"/>
        <v>4.75</v>
      </c>
      <c r="Q138" s="43">
        <f t="shared" si="13"/>
        <v>3.0166666666666671</v>
      </c>
      <c r="R138" s="43" t="str">
        <f t="shared" si="10"/>
        <v>High</v>
      </c>
      <c r="S138" s="44" t="str">
        <f>IFERROR( _xlfn.XLOOKUP(Q138,[2]Result!$A$7:$A$15,[2]Result!$C$7:$C$15,"Out of range",-1),"N/A")</f>
        <v>2B</v>
      </c>
      <c r="T138" s="43" t="str">
        <f t="shared" si="14"/>
        <v>NA</v>
      </c>
      <c r="U138" s="25" t="str" cm="1">
        <f t="array" ref="U138">IF(OR(J138="NA",J138="NR",ISBLANK(J138)),J138,IFERROR(INDEX([2]Result!$C$7:$C$15,MATCH(1,(J138&gt;=[2]Result!$A$7:$A$15)*(J138&lt;=[2]Result!$B$7:$B$15),0)), "NA"))</f>
        <v>NA</v>
      </c>
      <c r="V138" s="25">
        <f t="shared" si="12"/>
        <v>4.3</v>
      </c>
      <c r="W138" s="25" t="str" cm="1">
        <f t="array" ref="W138">IF(OR(M138="NA",M138="NR",ISBLANK(M138)),M138,IFERROR(INDEX([2]Result!$C$7:$C$15,MATCH(1,(M138&gt;=[2]Result!$A$7:$A$15)*(M138&lt;=[2]Result!$B$7:$B$15),0)), "NA"))</f>
        <v>3B</v>
      </c>
    </row>
    <row r="139" spans="1:23" ht="15.75" x14ac:dyDescent="0.25">
      <c r="A139" s="40">
        <v>128</v>
      </c>
      <c r="B139" s="41">
        <v>6608</v>
      </c>
      <c r="C139" s="40" t="str">
        <f>'[2]Evalution 25'!B129</f>
        <v>Mostafa Mohamed Ahmed Mohamed Ali</v>
      </c>
      <c r="D139" s="42">
        <v>44470</v>
      </c>
      <c r="E139" s="40" t="str">
        <f>'[2]Evalution 25'!C129</f>
        <v>Cairo</v>
      </c>
      <c r="F139" s="40" t="str">
        <f>'[2]Evalution 25'!E129</f>
        <v>Runner</v>
      </c>
      <c r="G139" s="40" t="str">
        <f>'[2]Evalution 25'!D129</f>
        <v>Admin</v>
      </c>
      <c r="H139" s="40">
        <f>'[2]Evalutaion 23'!G84</f>
        <v>3</v>
      </c>
      <c r="I139" s="40">
        <f>'[2]Evalutaion 23'!H84</f>
        <v>3</v>
      </c>
      <c r="J139" s="40">
        <f t="shared" si="7"/>
        <v>3</v>
      </c>
      <c r="K139" s="40">
        <f>'[2]Evalutaion 24'!G110</f>
        <v>4</v>
      </c>
      <c r="L139" s="40">
        <f>'[2]Evalutaion 24'!H110</f>
        <v>4</v>
      </c>
      <c r="M139" s="40">
        <f t="shared" si="8"/>
        <v>4</v>
      </c>
      <c r="N139" s="40">
        <f>'[2]Evalution 25'!G129</f>
        <v>3</v>
      </c>
      <c r="O139" s="40">
        <f>'[2]Evalution 25'!H129</f>
        <v>3</v>
      </c>
      <c r="P139" s="40">
        <f t="shared" si="9"/>
        <v>3</v>
      </c>
      <c r="Q139" s="43">
        <f t="shared" si="13"/>
        <v>2.5</v>
      </c>
      <c r="R139" s="43" t="str">
        <f t="shared" si="10"/>
        <v>Average</v>
      </c>
      <c r="S139" s="44" t="str">
        <f>IFERROR( _xlfn.XLOOKUP(Q139,[2]Result!$A$7:$A$15,[2]Result!$C$7:$C$15,"Out of range",-1),"N/A")</f>
        <v>2A</v>
      </c>
      <c r="T139" s="43">
        <f t="shared" si="14"/>
        <v>3</v>
      </c>
      <c r="U139" s="25" t="str" cm="1">
        <f t="array" ref="U139">IF(OR(J139="NA",J139="NR",ISBLANK(J139)),J139,IFERROR(INDEX([2]Result!$C$7:$C$15,MATCH(1,(J139&gt;=[2]Result!$A$7:$A$15)*(J139&lt;=[2]Result!$B$7:$B$15),0)), "NA"))</f>
        <v>2B</v>
      </c>
      <c r="V139" s="25">
        <f t="shared" si="12"/>
        <v>4</v>
      </c>
      <c r="W139" s="25" t="str" cm="1">
        <f t="array" ref="W139">IF(OR(M139="NA",M139="NR",ISBLANK(M139)),M139,IFERROR(INDEX([2]Result!$C$7:$C$15,MATCH(1,(M139&gt;=[2]Result!$A$7:$A$15)*(M139&lt;=[2]Result!$B$7:$B$15),0)), "NA"))</f>
        <v>3A</v>
      </c>
    </row>
    <row r="140" spans="1:23" ht="15.75" x14ac:dyDescent="0.25">
      <c r="A140" s="40">
        <v>129</v>
      </c>
      <c r="B140" s="41">
        <v>6547</v>
      </c>
      <c r="C140" s="40" t="str">
        <f>'[2]Evalution 25'!B130</f>
        <v>Mostafa Nader Gamal Eldeen Mohi Eldeen</v>
      </c>
      <c r="D140" s="42">
        <v>44178</v>
      </c>
      <c r="E140" s="40" t="str">
        <f>'[2]Evalution 25'!C130</f>
        <v>Cairo</v>
      </c>
      <c r="F140" s="40" t="str">
        <f>'[2]Evalution 25'!E130</f>
        <v>Senior Traffic Supervisor</v>
      </c>
      <c r="G140" s="40" t="str">
        <f>'[2]Evalution 25'!D130</f>
        <v>Traffic</v>
      </c>
      <c r="H140" s="40">
        <f>'[2]Evalutaion 23'!G85</f>
        <v>4</v>
      </c>
      <c r="I140" s="40">
        <f>'[2]Evalutaion 23'!H85</f>
        <v>3.8</v>
      </c>
      <c r="J140" s="40">
        <f t="shared" si="7"/>
        <v>3.9</v>
      </c>
      <c r="K140" s="40">
        <f>'[2]Evalutaion 24'!G109</f>
        <v>3.8</v>
      </c>
      <c r="L140" s="40">
        <f>'[2]Evalutaion 24'!H109</f>
        <v>3.8</v>
      </c>
      <c r="M140" s="40">
        <f t="shared" si="8"/>
        <v>3.8</v>
      </c>
      <c r="N140" s="40">
        <f>'[2]Evalution 25'!G130</f>
        <v>4</v>
      </c>
      <c r="O140" s="40">
        <f>'[2]Evalution 25'!H130</f>
        <v>4</v>
      </c>
      <c r="P140" s="40">
        <f t="shared" si="9"/>
        <v>4</v>
      </c>
      <c r="Q140" s="43">
        <f t="shared" si="13"/>
        <v>2.9249999999999998</v>
      </c>
      <c r="R140" s="43" t="str">
        <f t="shared" si="10"/>
        <v>High</v>
      </c>
      <c r="S140" s="45" t="str">
        <f>IFERROR( _xlfn.XLOOKUP(Q140,[2]Result!$A$7:$A$15,[2]Result!$C$7:$C$15,"Out of range",-1),"N/A")</f>
        <v>2B</v>
      </c>
      <c r="T140" s="43">
        <f t="shared" si="14"/>
        <v>3.9</v>
      </c>
      <c r="U140" s="25" t="str" cm="1">
        <f t="array" ref="U140">IF(OR(J140="NA",J140="NR",ISBLANK(J140)),J140,IFERROR(INDEX([2]Result!$C$7:$C$15,MATCH(1,(J140&gt;=[2]Result!$A$7:$A$15)*(J140&lt;=[2]Result!$B$7:$B$15),0)), "NA"))</f>
        <v>3A</v>
      </c>
      <c r="V140" s="25">
        <f t="shared" si="12"/>
        <v>3.8</v>
      </c>
      <c r="W140" s="25" t="str" cm="1">
        <f t="array" ref="W140">IF(OR(M140="NA",M140="NR",ISBLANK(M140)),M140,IFERROR(INDEX([2]Result!$C$7:$C$15,MATCH(1,(M140&gt;=[2]Result!$A$7:$A$15)*(M140&lt;=[2]Result!$B$7:$B$15),0)), "NA"))</f>
        <v>3A</v>
      </c>
    </row>
    <row r="141" spans="1:23" ht="15.75" x14ac:dyDescent="0.25">
      <c r="A141" s="40">
        <v>130</v>
      </c>
      <c r="B141" s="41">
        <v>48410</v>
      </c>
      <c r="C141" s="40" t="str">
        <f>'[2]Evalution 25'!B131</f>
        <v>Mostafa Salaheldin Nasr</v>
      </c>
      <c r="D141" s="42">
        <v>45261</v>
      </c>
      <c r="E141" s="40" t="str">
        <f>'[2]Evalution 25'!C131</f>
        <v>Cairo</v>
      </c>
      <c r="F141" s="40" t="str">
        <f>'[2]Evalution 25'!E131</f>
        <v>Runner</v>
      </c>
      <c r="G141" s="40" t="str">
        <f>'[2]Evalution 25'!D131</f>
        <v>Admin</v>
      </c>
      <c r="H141" s="40" t="s">
        <v>554</v>
      </c>
      <c r="I141" s="40" t="s">
        <v>554</v>
      </c>
      <c r="J141" s="40" t="str">
        <f t="shared" ref="J141:J197" si="15">IF(COUNT(H141:I141)&gt;0,AVERAGEIF(H141:I141,"&gt;=0"), IF(AND(ISNUMBER(D141),D141&lt;=DATE(2023,12,31)),"NR","NA"))</f>
        <v>NR</v>
      </c>
      <c r="K141" s="40">
        <f>'[2]Evalutaion 24'!G110</f>
        <v>4</v>
      </c>
      <c r="L141" s="40">
        <f>'[2]Evalutaion 24'!H110</f>
        <v>4</v>
      </c>
      <c r="M141" s="40">
        <f t="shared" ref="M141:M197" si="16">IF(COUNT(K141:L141)&gt;0,AVERAGEIF(K141:L141,"&gt;=0"), IF(AND(ISNUMBER(D141),D141&lt;=DATE(2024,12,31)),"NR","NA"))</f>
        <v>4</v>
      </c>
      <c r="N141" s="40">
        <f>'[2]Evalution 25'!G131</f>
        <v>3.5</v>
      </c>
      <c r="O141" s="40">
        <f>'[2]Evalution 25'!H131</f>
        <v>3.7</v>
      </c>
      <c r="P141" s="40">
        <f t="shared" ref="P141:P197" si="17">IF(COUNT(N141:O141)&gt;0,AVERAGEIF(N141:O141,"&gt;=0"), IF(AND(ISNUMBER(D141),D141&lt;=DATE(2025,12,31)),"NR","NA"))</f>
        <v>3.6</v>
      </c>
      <c r="Q141" s="43">
        <f t="shared" si="13"/>
        <v>2.5333333333333332</v>
      </c>
      <c r="R141" s="43" t="str">
        <f t="shared" ref="R141:R197" si="18">IF(P141="","",
IF(OR(P141="NR",P141="NA"),"NA",
IF(P141&lt;3,"Poor",
IF(P141&lt;3.8,"Average","High")
)))</f>
        <v>Average</v>
      </c>
      <c r="S141" s="45" t="str">
        <f>IFERROR( _xlfn.XLOOKUP(Q141,[2]Result!$A$7:$A$15,[2]Result!$C$7:$C$15,"Out of range",-1),"N/A")</f>
        <v>2A</v>
      </c>
      <c r="T141" s="43" t="str">
        <f t="shared" si="14"/>
        <v>NR</v>
      </c>
      <c r="U141" s="25" t="str" cm="1">
        <f t="array" ref="U141">IF(OR(J141="NA",J141="NR",ISBLANK(J141)),J141,IFERROR(INDEX([2]Result!$C$7:$C$15,MATCH(1,(J141&gt;=[2]Result!$A$7:$A$15)*(J141&lt;=[2]Result!$B$7:$B$15),0)), "NA"))</f>
        <v>NR</v>
      </c>
      <c r="V141" s="25">
        <f t="shared" ref="V141:V197" si="19">IF($D141&gt;DATE(2024,12,31),"NA",IF(M141="","NR",M141))</f>
        <v>4</v>
      </c>
      <c r="W141" s="25" t="str" cm="1">
        <f t="array" ref="W141">IF(OR(M141="NA",M141="NR",ISBLANK(M141)),M141,IFERROR(INDEX([2]Result!$C$7:$C$15,MATCH(1,(M141&gt;=[2]Result!$A$7:$A$15)*(M141&lt;=[2]Result!$B$7:$B$15),0)), "NA"))</f>
        <v>3A</v>
      </c>
    </row>
    <row r="142" spans="1:23" ht="15.75" x14ac:dyDescent="0.25">
      <c r="A142" s="40">
        <v>131</v>
      </c>
      <c r="B142" s="41">
        <v>10851</v>
      </c>
      <c r="C142" s="40" t="str">
        <f>'[2]Evalution 25'!B132</f>
        <v xml:space="preserve">Muhammad Ijaz  Khan </v>
      </c>
      <c r="D142" s="42">
        <v>44341</v>
      </c>
      <c r="E142" s="40" t="str">
        <f>'[2]Evalution 25'!C132</f>
        <v>Dubai</v>
      </c>
      <c r="F142" s="40" t="str">
        <f>'[2]Evalution 25'!E132</f>
        <v>Driver-MMS</v>
      </c>
      <c r="G142" s="40" t="str">
        <f>'[2]Evalution 25'!D132</f>
        <v>Admin</v>
      </c>
      <c r="H142" s="40">
        <f>'[2]Evalutaion 23'!G86</f>
        <v>4</v>
      </c>
      <c r="I142" s="40">
        <f>'[2]Evalutaion 23'!H86</f>
        <v>4</v>
      </c>
      <c r="J142" s="40">
        <f t="shared" si="15"/>
        <v>4</v>
      </c>
      <c r="K142" s="40">
        <f>'[2]Evalutaion 24'!G111</f>
        <v>5</v>
      </c>
      <c r="L142" s="40">
        <f>'[2]Evalutaion 24'!H111</f>
        <v>4.7</v>
      </c>
      <c r="M142" s="40">
        <f t="shared" si="16"/>
        <v>4.8499999999999996</v>
      </c>
      <c r="N142" s="40">
        <f>'[2]Evalution 25'!G132</f>
        <v>4.2</v>
      </c>
      <c r="O142" s="40">
        <f>'[2]Evalution 25'!H132</f>
        <v>4</v>
      </c>
      <c r="P142" s="40">
        <f t="shared" si="17"/>
        <v>4.0999999999999996</v>
      </c>
      <c r="Q142" s="43">
        <f t="shared" ref="Q142:Q197" si="20">AVERAGE(J142,M142,P142,)</f>
        <v>3.2374999999999998</v>
      </c>
      <c r="R142" s="43" t="str">
        <f t="shared" si="18"/>
        <v>High</v>
      </c>
      <c r="S142" s="44" t="str">
        <f>IFERROR( _xlfn.XLOOKUP(Q142,[2]Result!$A$7:$A$15,[2]Result!$C$7:$C$15,"Out of range",-1),"N/A")</f>
        <v>2C</v>
      </c>
      <c r="T142" s="43">
        <f t="shared" si="14"/>
        <v>4</v>
      </c>
      <c r="U142" s="25" t="str" cm="1">
        <f t="array" ref="U142">IF(OR(J142="NA",J142="NR",ISBLANK(J142)),J142,IFERROR(INDEX([2]Result!$C$7:$C$15,MATCH(1,(J142&gt;=[2]Result!$A$7:$A$15)*(J142&lt;=[2]Result!$B$7:$B$15),0)), "NA"))</f>
        <v>3A</v>
      </c>
      <c r="V142" s="25">
        <f t="shared" si="19"/>
        <v>4.8499999999999996</v>
      </c>
      <c r="W142" s="25" t="str" cm="1">
        <f t="array" ref="W142">IF(OR(M142="NA",M142="NR",ISBLANK(M142)),M142,IFERROR(INDEX([2]Result!$C$7:$C$15,MATCH(1,(M142&gt;=[2]Result!$A$7:$A$15)*(M142&lt;=[2]Result!$B$7:$B$15),0)), "NA"))</f>
        <v>3C</v>
      </c>
    </row>
    <row r="143" spans="1:23" ht="15.75" x14ac:dyDescent="0.25">
      <c r="A143" s="40">
        <v>132</v>
      </c>
      <c r="B143" s="41">
        <v>48222</v>
      </c>
      <c r="C143" s="40" t="str">
        <f>'[2]Evalution 25'!B133</f>
        <v>Nada Abdullah Doman Alotaibi</v>
      </c>
      <c r="D143" s="42">
        <v>45228</v>
      </c>
      <c r="E143" s="40" t="str">
        <f>'[2]Evalution 25'!C133</f>
        <v>Riyadh</v>
      </c>
      <c r="F143" s="40" t="str">
        <f>'[2]Evalution 25'!E133</f>
        <v>Senior Executive Office Manager– CEO Office</v>
      </c>
      <c r="G143" s="40" t="str">
        <f>'[2]Evalution 25'!D133</f>
        <v>Executive - CEO Office</v>
      </c>
      <c r="H143" s="40" t="s">
        <v>554</v>
      </c>
      <c r="I143" s="40" t="s">
        <v>554</v>
      </c>
      <c r="J143" s="40" t="str">
        <f t="shared" si="15"/>
        <v>NR</v>
      </c>
      <c r="K143" s="40">
        <f>'[2]Evalutaion 24'!G112</f>
        <v>0</v>
      </c>
      <c r="L143" s="40">
        <f>'[2]Evalutaion 24'!H112</f>
        <v>0</v>
      </c>
      <c r="M143" s="40">
        <f t="shared" si="16"/>
        <v>0</v>
      </c>
      <c r="N143" s="40">
        <f>'[2]Evalution 25'!G133</f>
        <v>5</v>
      </c>
      <c r="O143" s="40">
        <f>'[2]Evalution 25'!H133</f>
        <v>5</v>
      </c>
      <c r="P143" s="40">
        <f t="shared" si="17"/>
        <v>5</v>
      </c>
      <c r="Q143" s="43">
        <f t="shared" si="20"/>
        <v>1.6666666666666667</v>
      </c>
      <c r="R143" s="43" t="str">
        <f t="shared" si="18"/>
        <v>High</v>
      </c>
      <c r="S143" s="47" t="str">
        <f>IFERROR( _xlfn.XLOOKUP(Q143,[2]Result!$A$7:$A$15,[2]Result!$C$7:$C$15,"Out of range",-1),"N/A")</f>
        <v>1C</v>
      </c>
      <c r="T143" s="43" t="str">
        <f t="shared" si="14"/>
        <v>NR</v>
      </c>
      <c r="U143" s="25" t="str" cm="1">
        <f t="array" ref="U143">IF(OR(J143="NA",J143="NR",ISBLANK(J143)),J143,IFERROR(INDEX([2]Result!$C$7:$C$15,MATCH(1,(J143&gt;=[2]Result!$A$7:$A$15)*(J143&lt;=[2]Result!$B$7:$B$15),0)), "NA"))</f>
        <v>NR</v>
      </c>
      <c r="V143" s="25">
        <f t="shared" si="19"/>
        <v>0</v>
      </c>
      <c r="W143" s="25" t="str" cm="1">
        <f t="array" ref="W143">IF(OR(M143="NA",M143="NR",ISBLANK(M143)),M143,IFERROR(INDEX([2]Result!$C$7:$C$15,MATCH(1,(M143&gt;=[2]Result!$A$7:$A$15)*(M143&lt;=[2]Result!$B$7:$B$15),0)), "NA"))</f>
        <v>1A</v>
      </c>
    </row>
    <row r="144" spans="1:23" ht="15.75" x14ac:dyDescent="0.25">
      <c r="A144" s="40">
        <v>133</v>
      </c>
      <c r="B144" s="41">
        <v>50190</v>
      </c>
      <c r="C144" s="40" t="str">
        <f>'[2]Evalution 25'!B134</f>
        <v>Nada Sherif Abdelrahman Sayed Ahmed</v>
      </c>
      <c r="D144" s="42">
        <v>45683</v>
      </c>
      <c r="E144" s="40" t="str">
        <f>'[2]Evalution 25'!C134</f>
        <v>Cairo</v>
      </c>
      <c r="F144" s="40" t="str">
        <f>'[2]Evalution 25'!E134</f>
        <v>Client Service Executive</v>
      </c>
      <c r="G144" s="40" t="str">
        <f>'[2]Evalution 25'!D134</f>
        <v>Agency Partnerships</v>
      </c>
      <c r="H144" s="40" t="s">
        <v>554</v>
      </c>
      <c r="I144" s="40" t="s">
        <v>554</v>
      </c>
      <c r="J144" s="40" t="str">
        <f t="shared" si="15"/>
        <v>NA</v>
      </c>
      <c r="K144" s="40" t="s">
        <v>554</v>
      </c>
      <c r="L144" s="40" t="s">
        <v>554</v>
      </c>
      <c r="M144" s="40" t="str">
        <f t="shared" si="16"/>
        <v>NA</v>
      </c>
      <c r="N144" s="40">
        <f>'[2]Evalution 25'!G134</f>
        <v>4</v>
      </c>
      <c r="O144" s="40">
        <f>'[2]Evalution 25'!H134</f>
        <v>3.8</v>
      </c>
      <c r="P144" s="40">
        <f t="shared" si="17"/>
        <v>3.9</v>
      </c>
      <c r="Q144" s="43">
        <f t="shared" si="20"/>
        <v>1.95</v>
      </c>
      <c r="R144" s="43" t="str">
        <f t="shared" si="18"/>
        <v>High</v>
      </c>
      <c r="S144" s="45" t="str">
        <f>IFERROR( _xlfn.XLOOKUP(Q144,[2]Result!$A$7:$A$15,[2]Result!$C$7:$C$15,"Out of range",-1),"N/A")</f>
        <v>1C</v>
      </c>
      <c r="T144" s="43" t="str">
        <f t="shared" si="14"/>
        <v>NA</v>
      </c>
      <c r="U144" s="25" t="str" cm="1">
        <f t="array" ref="U144">IF(OR(J144="NA",J144="NR",ISBLANK(J144)),J144,IFERROR(INDEX([2]Result!$C$7:$C$15,MATCH(1,(J144&gt;=[2]Result!$A$7:$A$15)*(J144&lt;=[2]Result!$B$7:$B$15),0)), "NA"))</f>
        <v>NA</v>
      </c>
      <c r="V144" s="25" t="str">
        <f t="shared" si="19"/>
        <v>NA</v>
      </c>
      <c r="W144" s="25" t="str" cm="1">
        <f t="array" ref="W144">IF(OR(M144="NA",M144="NR",ISBLANK(M144)),M144,IFERROR(INDEX([2]Result!$C$7:$C$15,MATCH(1,(M144&gt;=[2]Result!$A$7:$A$15)*(M144&lt;=[2]Result!$B$7:$B$15),0)), "NA"))</f>
        <v>NA</v>
      </c>
    </row>
    <row r="145" spans="1:23" ht="15.75" x14ac:dyDescent="0.25">
      <c r="A145" s="40">
        <v>134</v>
      </c>
      <c r="B145" s="41">
        <v>10114</v>
      </c>
      <c r="C145" s="40" t="str">
        <f>'[2]Evalution 25'!B135</f>
        <v>Nadim Moussa Samara</v>
      </c>
      <c r="D145" s="42">
        <v>44105</v>
      </c>
      <c r="E145" s="40" t="str">
        <f>'[2]Evalution 25'!C135</f>
        <v>Dubai</v>
      </c>
      <c r="F145" s="40" t="str">
        <f>'[2]Evalution 25'!E135</f>
        <v>Chief Commercial Officer</v>
      </c>
      <c r="G145" s="40" t="str">
        <f>'[2]Evalution 25'!D135</f>
        <v>Executive</v>
      </c>
      <c r="H145" s="40" t="s">
        <v>554</v>
      </c>
      <c r="I145" s="40" t="s">
        <v>554</v>
      </c>
      <c r="J145" s="40" t="str">
        <f t="shared" si="15"/>
        <v>NR</v>
      </c>
      <c r="K145" s="40" t="s">
        <v>554</v>
      </c>
      <c r="L145" s="40" t="s">
        <v>554</v>
      </c>
      <c r="M145" s="40" t="str">
        <f t="shared" si="16"/>
        <v>NR</v>
      </c>
      <c r="N145" s="40" t="s">
        <v>554</v>
      </c>
      <c r="O145" s="40" t="s">
        <v>554</v>
      </c>
      <c r="P145" s="40" t="str">
        <f t="shared" si="17"/>
        <v>NR</v>
      </c>
      <c r="Q145" s="43">
        <f t="shared" si="20"/>
        <v>0</v>
      </c>
      <c r="R145" s="43" t="str">
        <f t="shared" si="18"/>
        <v>NA</v>
      </c>
      <c r="S145" s="40" t="str">
        <f>IFERROR( _xlfn.XLOOKUP(Q145,[2]Result!$A$7:$A$15,[2]Result!$C$7:$C$15,"Out of range",-1),"N/A")</f>
        <v>1A</v>
      </c>
      <c r="T145" s="43" t="str">
        <f t="shared" si="14"/>
        <v>NR</v>
      </c>
      <c r="U145" s="25" t="str" cm="1">
        <f t="array" ref="U145">IF(OR(J145="NA",J145="NR",ISBLANK(J145)),J145,IFERROR(INDEX([2]Result!$C$7:$C$15,MATCH(1,(J145&gt;=[2]Result!$A$7:$A$15)*(J145&lt;=[2]Result!$B$7:$B$15),0)), "NA"))</f>
        <v>NR</v>
      </c>
      <c r="V145" s="25" t="str">
        <f t="shared" si="19"/>
        <v>NR</v>
      </c>
      <c r="W145" s="25" t="str" cm="1">
        <f t="array" ref="W145">IF(OR(M145="NA",M145="NR",ISBLANK(M145)),M145,IFERROR(INDEX([2]Result!$C$7:$C$15,MATCH(1,(M145&gt;=[2]Result!$A$7:$A$15)*(M145&lt;=[2]Result!$B$7:$B$15),0)), "NA"))</f>
        <v>NR</v>
      </c>
    </row>
    <row r="146" spans="1:23" ht="15.75" x14ac:dyDescent="0.25">
      <c r="A146" s="40">
        <v>135</v>
      </c>
      <c r="B146" s="41">
        <v>49940</v>
      </c>
      <c r="C146" s="40" t="str">
        <f>'[2]Evalution 25'!B136</f>
        <v>Nermine Nader Mohamed Hegazy</v>
      </c>
      <c r="D146" s="42">
        <v>45597</v>
      </c>
      <c r="E146" s="40" t="str">
        <f>'[2]Evalution 25'!C136</f>
        <v>Cairo</v>
      </c>
      <c r="F146" s="40" t="str">
        <f>'[2]Evalution 25'!E136</f>
        <v>Digital Sales Supervisor</v>
      </c>
      <c r="G146" s="40" t="str">
        <f>'[2]Evalution 25'!D136</f>
        <v>Agency Partnerships</v>
      </c>
      <c r="H146" s="40" t="s">
        <v>554</v>
      </c>
      <c r="I146" s="40" t="s">
        <v>554</v>
      </c>
      <c r="J146" s="40" t="str">
        <f t="shared" si="15"/>
        <v>NA</v>
      </c>
      <c r="K146" s="40" t="s">
        <v>554</v>
      </c>
      <c r="L146" s="40" t="s">
        <v>554</v>
      </c>
      <c r="M146" s="40" t="str">
        <f t="shared" si="16"/>
        <v>NR</v>
      </c>
      <c r="N146" s="40">
        <f>'[2]Evalution 25'!G136</f>
        <v>3.5</v>
      </c>
      <c r="O146" s="40">
        <f>'[2]Evalution 25'!H136</f>
        <v>3.7</v>
      </c>
      <c r="P146" s="40">
        <f t="shared" si="17"/>
        <v>3.6</v>
      </c>
      <c r="Q146" s="43">
        <f t="shared" si="20"/>
        <v>1.8</v>
      </c>
      <c r="R146" s="43" t="str">
        <f t="shared" si="18"/>
        <v>Average</v>
      </c>
      <c r="S146" s="45" t="str">
        <f>IFERROR( _xlfn.XLOOKUP(Q146,[2]Result!$A$7:$A$15,[2]Result!$C$7:$C$15,"Out of range",-1),"N/A")</f>
        <v>1C</v>
      </c>
      <c r="T146" s="43" t="str">
        <f t="shared" si="14"/>
        <v>NA</v>
      </c>
      <c r="U146" s="25" t="str" cm="1">
        <f t="array" ref="U146">IF(OR(J146="NA",J146="NR",ISBLANK(J146)),J146,IFERROR(INDEX([2]Result!$C$7:$C$15,MATCH(1,(J146&gt;=[2]Result!$A$7:$A$15)*(J146&lt;=[2]Result!$B$7:$B$15),0)), "NA"))</f>
        <v>NA</v>
      </c>
      <c r="V146" s="25" t="str">
        <f t="shared" si="19"/>
        <v>NR</v>
      </c>
      <c r="W146" s="25" t="str" cm="1">
        <f t="array" ref="W146">IF(OR(M146="NA",M146="NR",ISBLANK(M146)),M146,IFERROR(INDEX([2]Result!$C$7:$C$15,MATCH(1,(M146&gt;=[2]Result!$A$7:$A$15)*(M146&lt;=[2]Result!$B$7:$B$15),0)), "NA"))</f>
        <v>NR</v>
      </c>
    </row>
    <row r="147" spans="1:23" ht="15.75" x14ac:dyDescent="0.25">
      <c r="A147" s="40">
        <v>136</v>
      </c>
      <c r="B147" s="41">
        <v>10308</v>
      </c>
      <c r="C147" s="40" t="str">
        <f>'[2]Evalution 25'!B137</f>
        <v xml:space="preserve">Nicholas  Khoury </v>
      </c>
      <c r="D147" s="42">
        <v>44129</v>
      </c>
      <c r="E147" s="40" t="str">
        <f>'[2]Evalution 25'!C137</f>
        <v>Dubai</v>
      </c>
      <c r="F147" s="40" t="str">
        <f>'[2]Evalution 25'!E137</f>
        <v>Agency Partnerships Associate Director</v>
      </c>
      <c r="G147" s="40" t="str">
        <f>'[2]Evalution 25'!D137</f>
        <v>Agency Partnerships</v>
      </c>
      <c r="H147" s="40">
        <f>'[2]Evalutaion 23'!G87</f>
        <v>0</v>
      </c>
      <c r="I147" s="40">
        <f>'[2]Evalutaion 23'!H87</f>
        <v>4</v>
      </c>
      <c r="J147" s="40">
        <f t="shared" si="15"/>
        <v>2</v>
      </c>
      <c r="K147" s="40">
        <f>'[2]Evalutaion 24'!G114</f>
        <v>4.4000000000000004</v>
      </c>
      <c r="L147" s="40">
        <f>'[2]Evalutaion 24'!H114</f>
        <v>4.2</v>
      </c>
      <c r="M147" s="40">
        <f t="shared" si="16"/>
        <v>4.3000000000000007</v>
      </c>
      <c r="N147" s="40">
        <f>'[2]Evalution 25'!G137</f>
        <v>4.3</v>
      </c>
      <c r="O147" s="40">
        <f>'[2]Evalution 25'!H137</f>
        <v>4</v>
      </c>
      <c r="P147" s="40">
        <f t="shared" si="17"/>
        <v>4.1500000000000004</v>
      </c>
      <c r="Q147" s="43">
        <f t="shared" si="20"/>
        <v>2.6125000000000003</v>
      </c>
      <c r="R147" s="43" t="str">
        <f t="shared" si="18"/>
        <v>High</v>
      </c>
      <c r="S147" s="48" t="str">
        <f>IFERROR( _xlfn.XLOOKUP(Q147,[2]Result!$A$7:$A$15,[2]Result!$C$7:$C$15,"Out of range",-1),"N/A")</f>
        <v>2B</v>
      </c>
      <c r="T147" s="43">
        <f t="shared" si="14"/>
        <v>2</v>
      </c>
      <c r="U147" s="25" t="str" cm="1">
        <f t="array" ref="U147">IF(OR(J147="NA",J147="NR",ISBLANK(J147)),J147,IFERROR(INDEX([2]Result!$C$7:$C$15,MATCH(1,(J147&gt;=[2]Result!$A$7:$A$15)*(J147&lt;=[2]Result!$B$7:$B$15),0)), "NA"))</f>
        <v>1C</v>
      </c>
      <c r="V147" s="25">
        <f t="shared" si="19"/>
        <v>4.3000000000000007</v>
      </c>
      <c r="W147" s="25" t="str" cm="1">
        <f t="array" ref="W147">IF(OR(M147="NA",M147="NR",ISBLANK(M147)),M147,IFERROR(INDEX([2]Result!$C$7:$C$15,MATCH(1,(M147&gt;=[2]Result!$A$7:$A$15)*(M147&lt;=[2]Result!$B$7:$B$15),0)), "NA"))</f>
        <v>3B</v>
      </c>
    </row>
    <row r="148" spans="1:23" ht="15.75" x14ac:dyDescent="0.25">
      <c r="A148" s="40">
        <v>137</v>
      </c>
      <c r="B148" s="41">
        <v>4708</v>
      </c>
      <c r="C148" s="40" t="str">
        <f>'[2]Evalution 25'!B138</f>
        <v>Nilesh Shantaram  Kadam</v>
      </c>
      <c r="D148" s="42">
        <v>43566</v>
      </c>
      <c r="E148" s="40" t="str">
        <f>'[2]Evalution 25'!C138</f>
        <v>Dubai</v>
      </c>
      <c r="F148" s="40" t="str">
        <f>'[2]Evalution 25'!E138</f>
        <v>Traffic Manager - Digital</v>
      </c>
      <c r="G148" s="40" t="str">
        <f>'[2]Evalution 25'!D138</f>
        <v>Traffic</v>
      </c>
      <c r="H148" s="40">
        <f>'[2]Evalutaion 23'!G88</f>
        <v>4.8</v>
      </c>
      <c r="I148" s="40">
        <f>'[2]Evalutaion 23'!H88</f>
        <v>4.8</v>
      </c>
      <c r="J148" s="40">
        <f t="shared" si="15"/>
        <v>4.8</v>
      </c>
      <c r="K148" s="40">
        <f>'[2]Evalutaion 24'!G115</f>
        <v>4.8</v>
      </c>
      <c r="L148" s="40">
        <f>'[2]Evalutaion 24'!H115</f>
        <v>4.7</v>
      </c>
      <c r="M148" s="40">
        <f t="shared" si="16"/>
        <v>4.75</v>
      </c>
      <c r="N148" s="40">
        <f>'[2]Evalution 25'!G138</f>
        <v>5</v>
      </c>
      <c r="O148" s="40">
        <f>'[2]Evalution 25'!H138</f>
        <v>5</v>
      </c>
      <c r="P148" s="40">
        <f t="shared" si="17"/>
        <v>5</v>
      </c>
      <c r="Q148" s="43">
        <f t="shared" si="20"/>
        <v>3.6375000000000002</v>
      </c>
      <c r="R148" s="43" t="str">
        <f t="shared" si="18"/>
        <v>High</v>
      </c>
      <c r="S148" s="46" t="str">
        <f>IFERROR( _xlfn.XLOOKUP(Q148,[2]Result!$A$7:$A$15,[2]Result!$C$7:$C$15,"Out of range",-1),"N/A")</f>
        <v>3A</v>
      </c>
      <c r="T148" s="43">
        <f t="shared" si="14"/>
        <v>4.8</v>
      </c>
      <c r="U148" s="25" t="str" cm="1">
        <f t="array" ref="U148">IF(OR(J148="NA",J148="NR",ISBLANK(J148)),J148,IFERROR(INDEX([2]Result!$C$7:$C$15,MATCH(1,(J148&gt;=[2]Result!$A$7:$A$15)*(J148&lt;=[2]Result!$B$7:$B$15),0)), "NA"))</f>
        <v>3C</v>
      </c>
      <c r="V148" s="25">
        <f t="shared" si="19"/>
        <v>4.75</v>
      </c>
      <c r="W148" s="25" t="str" cm="1">
        <f t="array" ref="W148">IF(OR(M148="NA",M148="NR",ISBLANK(M148)),M148,IFERROR(INDEX([2]Result!$C$7:$C$15,MATCH(1,(M148&gt;=[2]Result!$A$7:$A$15)*(M148&lt;=[2]Result!$B$7:$B$15),0)), "NA"))</f>
        <v>3C</v>
      </c>
    </row>
    <row r="149" spans="1:23" ht="15.75" x14ac:dyDescent="0.25">
      <c r="A149" s="40">
        <v>138</v>
      </c>
      <c r="B149" s="41">
        <v>10841</v>
      </c>
      <c r="C149" s="40" t="str">
        <f>'[2]Evalution 25'!B139</f>
        <v xml:space="preserve">Noor  Nazzal </v>
      </c>
      <c r="D149" s="42">
        <v>44283</v>
      </c>
      <c r="E149" s="40" t="str">
        <f>'[2]Evalution 25'!C139</f>
        <v>Dubai</v>
      </c>
      <c r="F149" s="40" t="str">
        <f>'[2]Evalution 25'!E139</f>
        <v>Marketing and PR Senior Manager</v>
      </c>
      <c r="G149" s="40" t="str">
        <f>'[2]Evalution 25'!D139</f>
        <v>Marketing</v>
      </c>
      <c r="H149" s="40">
        <f>'[2]Evalutaion 23'!G89</f>
        <v>4.4000000000000004</v>
      </c>
      <c r="I149" s="40">
        <f>'[2]Evalutaion 23'!H89</f>
        <v>4.7</v>
      </c>
      <c r="J149" s="40">
        <f t="shared" si="15"/>
        <v>4.5500000000000007</v>
      </c>
      <c r="K149" s="40">
        <f>'[2]Evalutaion 24'!G116</f>
        <v>4.5999999999999996</v>
      </c>
      <c r="L149" s="40">
        <f>'[2]Evalutaion 24'!H116</f>
        <v>5</v>
      </c>
      <c r="M149" s="40">
        <f t="shared" si="16"/>
        <v>4.8</v>
      </c>
      <c r="N149" s="40">
        <f>'[2]Evalution 25'!G139</f>
        <v>5</v>
      </c>
      <c r="O149" s="40">
        <f>'[2]Evalution 25'!H139</f>
        <v>5</v>
      </c>
      <c r="P149" s="40">
        <f t="shared" si="17"/>
        <v>5</v>
      </c>
      <c r="Q149" s="43">
        <f t="shared" si="20"/>
        <v>3.5875000000000004</v>
      </c>
      <c r="R149" s="43" t="str">
        <f t="shared" si="18"/>
        <v>High</v>
      </c>
      <c r="S149" s="46" t="str">
        <f>IFERROR( _xlfn.XLOOKUP(Q149,[2]Result!$A$7:$A$15,[2]Result!$C$7:$C$15,"Out of range",-1),"N/A")</f>
        <v>2C</v>
      </c>
      <c r="T149" s="43">
        <f t="shared" si="14"/>
        <v>4.5500000000000007</v>
      </c>
      <c r="U149" s="25" t="str" cm="1">
        <f t="array" ref="U149">IF(OR(J149="NA",J149="NR",ISBLANK(J149)),J149,IFERROR(INDEX([2]Result!$C$7:$C$15,MATCH(1,(J149&gt;=[2]Result!$A$7:$A$15)*(J149&lt;=[2]Result!$B$7:$B$15),0)), "NA"))</f>
        <v>NA</v>
      </c>
      <c r="V149" s="25">
        <f t="shared" si="19"/>
        <v>4.8</v>
      </c>
      <c r="W149" s="25" t="str" cm="1">
        <f t="array" ref="W149">IF(OR(M149="NA",M149="NR",ISBLANK(M149)),M149,IFERROR(INDEX([2]Result!$C$7:$C$15,MATCH(1,(M149&gt;=[2]Result!$A$7:$A$15)*(M149&lt;=[2]Result!$B$7:$B$15),0)), "NA"))</f>
        <v>3C</v>
      </c>
    </row>
    <row r="150" spans="1:23" ht="15.75" x14ac:dyDescent="0.25">
      <c r="A150" s="40">
        <v>139</v>
      </c>
      <c r="B150" s="41">
        <v>50668</v>
      </c>
      <c r="C150" s="40" t="str">
        <f>'[2]Evalution 25'!B140</f>
        <v>Layal Talal Abdullah Samarkandi</v>
      </c>
      <c r="D150" s="42">
        <v>45853</v>
      </c>
      <c r="E150" s="40" t="str">
        <f>'[2]Evalution 25'!C140</f>
        <v>Riyadh</v>
      </c>
      <c r="F150" s="40" t="str">
        <f>'[2]Evalution 25'!E140</f>
        <v xml:space="preserve">Accountant Senior Executive </v>
      </c>
      <c r="G150" s="40" t="str">
        <f>'[2]Evalution 25'!D140</f>
        <v>Finance</v>
      </c>
      <c r="H150" s="40" t="s">
        <v>554</v>
      </c>
      <c r="I150" s="40" t="s">
        <v>554</v>
      </c>
      <c r="J150" s="40" t="str">
        <f t="shared" si="15"/>
        <v>NA</v>
      </c>
      <c r="K150" s="40" t="s">
        <v>554</v>
      </c>
      <c r="L150" s="40" t="s">
        <v>554</v>
      </c>
      <c r="M150" s="40" t="str">
        <f t="shared" si="16"/>
        <v>NA</v>
      </c>
      <c r="N150" s="40">
        <f>'[2]Evalution 25'!G140</f>
        <v>3</v>
      </c>
      <c r="O150" s="40">
        <f>'[2]Evalution 25'!H140</f>
        <v>3</v>
      </c>
      <c r="P150" s="40">
        <f t="shared" si="17"/>
        <v>3</v>
      </c>
      <c r="Q150" s="43">
        <f t="shared" si="20"/>
        <v>1.5</v>
      </c>
      <c r="R150" s="43" t="str">
        <f t="shared" si="18"/>
        <v>Average</v>
      </c>
      <c r="S150" s="45" t="str">
        <f>IFERROR( _xlfn.XLOOKUP(Q150,[2]Result!$A$7:$A$15,[2]Result!$C$7:$C$15,"Out of range",-1),"N/A")</f>
        <v>1B</v>
      </c>
      <c r="T150" s="43" t="str">
        <f t="shared" si="14"/>
        <v>NA</v>
      </c>
      <c r="U150" s="25" t="str" cm="1">
        <f t="array" ref="U150">IF(OR(J150="NA",J150="NR",ISBLANK(J150)),J150,IFERROR(INDEX([2]Result!$C$7:$C$15,MATCH(1,(J150&gt;=[2]Result!$A$7:$A$15)*(J150&lt;=[2]Result!$B$7:$B$15),0)), "NA"))</f>
        <v>NA</v>
      </c>
      <c r="V150" s="25" t="str">
        <f t="shared" si="19"/>
        <v>NA</v>
      </c>
      <c r="W150" s="25" t="str" cm="1">
        <f t="array" ref="W150">IF(OR(M150="NA",M150="NR",ISBLANK(M150)),M150,IFERROR(INDEX([2]Result!$C$7:$C$15,MATCH(1,(M150&gt;=[2]Result!$A$7:$A$15)*(M150&lt;=[2]Result!$B$7:$B$15),0)), "NA"))</f>
        <v>NA</v>
      </c>
    </row>
    <row r="151" spans="1:23" ht="15.75" x14ac:dyDescent="0.25">
      <c r="A151" s="40">
        <v>140</v>
      </c>
      <c r="B151" s="41">
        <v>50484</v>
      </c>
      <c r="C151" s="40" t="str">
        <f>'[2]Evalution 25'!B141</f>
        <v>Norah Abdulaziz Abduallah Alkhayyal</v>
      </c>
      <c r="D151" s="42">
        <v>45795</v>
      </c>
      <c r="E151" s="40" t="str">
        <f>'[2]Evalution 25'!C141</f>
        <v>Riyadh</v>
      </c>
      <c r="F151" s="40" t="str">
        <f>'[2]Evalution 25'!E141</f>
        <v>Client Growth Senior Executive</v>
      </c>
      <c r="G151" s="40" t="str">
        <f>'[2]Evalution 25'!D141</f>
        <v>Client Growth</v>
      </c>
      <c r="H151" s="40" t="s">
        <v>554</v>
      </c>
      <c r="I151" s="40" t="s">
        <v>554</v>
      </c>
      <c r="J151" s="40" t="str">
        <f t="shared" si="15"/>
        <v>NA</v>
      </c>
      <c r="K151" s="40" t="s">
        <v>554</v>
      </c>
      <c r="L151" s="40" t="s">
        <v>554</v>
      </c>
      <c r="M151" s="40" t="str">
        <f t="shared" si="16"/>
        <v>NA</v>
      </c>
      <c r="N151" s="40">
        <f>'[2]Evalution 25'!G141</f>
        <v>0</v>
      </c>
      <c r="O151" s="40">
        <f>'[2]Evalution 25'!H141</f>
        <v>4</v>
      </c>
      <c r="P151" s="40">
        <f t="shared" si="17"/>
        <v>2</v>
      </c>
      <c r="Q151" s="43">
        <f t="shared" si="20"/>
        <v>1</v>
      </c>
      <c r="R151" s="43" t="str">
        <f t="shared" si="18"/>
        <v>Poor</v>
      </c>
      <c r="S151" s="47" t="str">
        <f>IFERROR( _xlfn.XLOOKUP(Q151,[2]Result!$A$7:$A$15,[2]Result!$C$7:$C$15,"Out of range",-1),"N/A")</f>
        <v>1A</v>
      </c>
      <c r="T151" s="43" t="str">
        <f t="shared" si="14"/>
        <v>NA</v>
      </c>
      <c r="U151" s="25" t="str" cm="1">
        <f t="array" ref="U151">IF(OR(J151="NA",J151="NR",ISBLANK(J151)),J151,IFERROR(INDEX([2]Result!$C$7:$C$15,MATCH(1,(J151&gt;=[2]Result!$A$7:$A$15)*(J151&lt;=[2]Result!$B$7:$B$15),0)), "NA"))</f>
        <v>NA</v>
      </c>
      <c r="V151" s="25" t="str">
        <f t="shared" si="19"/>
        <v>NA</v>
      </c>
      <c r="W151" s="25" t="str" cm="1">
        <f t="array" ref="W151">IF(OR(M151="NA",M151="NR",ISBLANK(M151)),M151,IFERROR(INDEX([2]Result!$C$7:$C$15,MATCH(1,(M151&gt;=[2]Result!$A$7:$A$15)*(M151&lt;=[2]Result!$B$7:$B$15),0)), "NA"))</f>
        <v>NA</v>
      </c>
    </row>
    <row r="152" spans="1:23" ht="15.75" x14ac:dyDescent="0.25">
      <c r="A152" s="40">
        <v>141</v>
      </c>
      <c r="B152" s="41">
        <v>50886</v>
      </c>
      <c r="C152" s="40" t="str">
        <f>'[2]Evalution 25'!B142</f>
        <v>Mohamed Fathy Abdel Aziz Aly</v>
      </c>
      <c r="D152" s="49">
        <v>45914</v>
      </c>
      <c r="E152" s="40" t="str">
        <f>'[2]Evalution 25'!C142</f>
        <v>Cairo</v>
      </c>
      <c r="F152" s="40" t="str">
        <f>'[2]Evalution 25'!E142</f>
        <v>Collection Officer</v>
      </c>
      <c r="G152" s="40" t="str">
        <f>'[2]Evalution 25'!D142</f>
        <v>Finance</v>
      </c>
      <c r="H152" s="40" t="s">
        <v>554</v>
      </c>
      <c r="I152" s="40" t="s">
        <v>554</v>
      </c>
      <c r="J152" s="40" t="str">
        <f t="shared" si="15"/>
        <v>NA</v>
      </c>
      <c r="K152" s="40" t="s">
        <v>554</v>
      </c>
      <c r="L152" s="40" t="s">
        <v>554</v>
      </c>
      <c r="M152" s="40" t="str">
        <f t="shared" si="16"/>
        <v>NA</v>
      </c>
      <c r="N152" s="40">
        <f>'[2]Evalution 25'!G142</f>
        <v>3</v>
      </c>
      <c r="O152" s="40">
        <f>'[2]Evalution 25'!H142</f>
        <v>3</v>
      </c>
      <c r="P152" s="40">
        <f t="shared" si="17"/>
        <v>3</v>
      </c>
      <c r="Q152" s="43">
        <f t="shared" si="20"/>
        <v>1.5</v>
      </c>
      <c r="R152" s="43" t="str">
        <f t="shared" si="18"/>
        <v>Average</v>
      </c>
      <c r="S152" s="45" t="str">
        <f>IFERROR( _xlfn.XLOOKUP(Q152,[2]Result!$A$7:$A$15,[2]Result!$C$7:$C$15,"Out of range",-1),"N/A")</f>
        <v>1B</v>
      </c>
      <c r="T152" s="43" t="str">
        <f t="shared" si="14"/>
        <v>NA</v>
      </c>
      <c r="U152" s="25" t="str" cm="1">
        <f t="array" ref="U152">IF(OR(J152="NA",J152="NR",ISBLANK(J152)),J152,IFERROR(INDEX([2]Result!$C$7:$C$15,MATCH(1,(J152&gt;=[2]Result!$A$7:$A$15)*(J152&lt;=[2]Result!$B$7:$B$15),0)), "NA"))</f>
        <v>NA</v>
      </c>
      <c r="V152" s="25" t="str">
        <f t="shared" si="19"/>
        <v>NA</v>
      </c>
      <c r="W152" s="25" t="str" cm="1">
        <f t="array" ref="W152">IF(OR(M152="NA",M152="NR",ISBLANK(M152)),M152,IFERROR(INDEX([2]Result!$C$7:$C$15,MATCH(1,(M152&gt;=[2]Result!$A$7:$A$15)*(M152&lt;=[2]Result!$B$7:$B$15),0)), "NA"))</f>
        <v>NA</v>
      </c>
    </row>
    <row r="153" spans="1:23" ht="15.75" x14ac:dyDescent="0.25">
      <c r="A153" s="40">
        <v>142</v>
      </c>
      <c r="B153" s="41">
        <v>10832</v>
      </c>
      <c r="C153" s="40" t="str">
        <f>'[2]Evalution 25'!B143</f>
        <v>Noreen Arda</v>
      </c>
      <c r="D153" s="42">
        <v>44249</v>
      </c>
      <c r="E153" s="40" t="str">
        <f>'[2]Evalution 25'!C143</f>
        <v>Dubai</v>
      </c>
      <c r="F153" s="40" t="str">
        <f>'[2]Evalution 25'!E143</f>
        <v>Senior Traffic Executive</v>
      </c>
      <c r="G153" s="40" t="str">
        <f>'[2]Evalution 25'!D143</f>
        <v>Traffic</v>
      </c>
      <c r="H153" s="40">
        <f>'[2]Evalutaion 23'!G90</f>
        <v>4.5</v>
      </c>
      <c r="I153" s="40">
        <f>'[2]Evalutaion 23'!H90</f>
        <v>4.8</v>
      </c>
      <c r="J153" s="40">
        <f t="shared" si="15"/>
        <v>4.6500000000000004</v>
      </c>
      <c r="K153" s="40">
        <f>'[2]Evalutaion 24'!G117</f>
        <v>4.5</v>
      </c>
      <c r="L153" s="40">
        <f>'[2]Evalutaion 24'!H117</f>
        <v>4.8</v>
      </c>
      <c r="M153" s="40">
        <f t="shared" si="16"/>
        <v>4.6500000000000004</v>
      </c>
      <c r="N153" s="40">
        <f>'[2]Evalution 25'!G143</f>
        <v>4.5</v>
      </c>
      <c r="O153" s="40">
        <f>'[2]Evalution 25'!H143</f>
        <v>4.3</v>
      </c>
      <c r="P153" s="40">
        <f t="shared" si="17"/>
        <v>4.4000000000000004</v>
      </c>
      <c r="Q153" s="43">
        <f t="shared" si="20"/>
        <v>3.4250000000000003</v>
      </c>
      <c r="R153" s="43" t="str">
        <f t="shared" si="18"/>
        <v>High</v>
      </c>
      <c r="S153" s="44" t="str">
        <f>IFERROR( _xlfn.XLOOKUP(Q153,[2]Result!$A$7:$A$15,[2]Result!$C$7:$C$15,"Out of range",-1),"N/A")</f>
        <v>2C</v>
      </c>
      <c r="T153" s="43">
        <f t="shared" si="14"/>
        <v>4.6500000000000004</v>
      </c>
      <c r="U153" s="25" t="str" cm="1">
        <f t="array" ref="U153">IF(OR(J153="NA",J153="NR",ISBLANK(J153)),J153,IFERROR(INDEX([2]Result!$C$7:$C$15,MATCH(1,(J153&gt;=[2]Result!$A$7:$A$15)*(J153&lt;=[2]Result!$B$7:$B$15),0)), "NA"))</f>
        <v>3C</v>
      </c>
      <c r="V153" s="25">
        <f t="shared" si="19"/>
        <v>4.6500000000000004</v>
      </c>
      <c r="W153" s="25" t="str" cm="1">
        <f t="array" ref="W153">IF(OR(M153="NA",M153="NR",ISBLANK(M153)),M153,IFERROR(INDEX([2]Result!$C$7:$C$15,MATCH(1,(M153&gt;=[2]Result!$A$7:$A$15)*(M153&lt;=[2]Result!$B$7:$B$15),0)), "NA"))</f>
        <v>3C</v>
      </c>
    </row>
    <row r="154" spans="1:23" ht="15.75" x14ac:dyDescent="0.25">
      <c r="A154" s="40">
        <v>143</v>
      </c>
      <c r="B154" s="41">
        <v>5905</v>
      </c>
      <c r="C154" s="40" t="str">
        <f>'[2]Evalution 25'!B144</f>
        <v>Nour Hadchiti</v>
      </c>
      <c r="D154" s="42">
        <v>45635</v>
      </c>
      <c r="E154" s="40" t="str">
        <f>'[2]Evalution 25'!C144</f>
        <v>Dubai</v>
      </c>
      <c r="F154" s="40" t="str">
        <f>'[2]Evalution 25'!E144</f>
        <v>Content Solutions Senior Executive</v>
      </c>
      <c r="G154" s="40" t="str">
        <f>'[2]Evalution 25'!D144</f>
        <v>Content Solutions</v>
      </c>
      <c r="H154" s="40" t="s">
        <v>554</v>
      </c>
      <c r="I154" s="40" t="s">
        <v>554</v>
      </c>
      <c r="J154" s="40" t="str">
        <f t="shared" si="15"/>
        <v>NA</v>
      </c>
      <c r="K154" s="40" t="s">
        <v>554</v>
      </c>
      <c r="L154" s="40" t="s">
        <v>554</v>
      </c>
      <c r="M154" s="40" t="str">
        <f t="shared" si="16"/>
        <v>NR</v>
      </c>
      <c r="N154" s="40">
        <f>'[2]Evalution 25'!G144</f>
        <v>5</v>
      </c>
      <c r="O154" s="40">
        <f>'[2]Evalution 25'!H144</f>
        <v>5</v>
      </c>
      <c r="P154" s="40">
        <f t="shared" si="17"/>
        <v>5</v>
      </c>
      <c r="Q154" s="43">
        <f t="shared" si="20"/>
        <v>2.5</v>
      </c>
      <c r="R154" s="43" t="str">
        <f t="shared" si="18"/>
        <v>High</v>
      </c>
      <c r="S154" s="46" t="str">
        <f>IFERROR( _xlfn.XLOOKUP(Q154,[2]Result!$A$7:$A$15,[2]Result!$C$7:$C$15,"Out of range",-1),"N/A")</f>
        <v>2A</v>
      </c>
      <c r="T154" s="43" t="str">
        <f t="shared" si="14"/>
        <v>NA</v>
      </c>
      <c r="U154" s="25" t="str" cm="1">
        <f t="array" ref="U154">IF(OR(J154="NA",J154="NR",ISBLANK(J154)),J154,IFERROR(INDEX([2]Result!$C$7:$C$15,MATCH(1,(J154&gt;=[2]Result!$A$7:$A$15)*(J154&lt;=[2]Result!$B$7:$B$15),0)), "NA"))</f>
        <v>NA</v>
      </c>
      <c r="V154" s="25" t="str">
        <f t="shared" si="19"/>
        <v>NR</v>
      </c>
      <c r="W154" s="25" t="str" cm="1">
        <f t="array" ref="W154">IF(OR(M154="NA",M154="NR",ISBLANK(M154)),M154,IFERROR(INDEX([2]Result!$C$7:$C$15,MATCH(1,(M154&gt;=[2]Result!$A$7:$A$15)*(M154&lt;=[2]Result!$B$7:$B$15),0)), "NA"))</f>
        <v>NR</v>
      </c>
    </row>
    <row r="155" spans="1:23" ht="15.75" x14ac:dyDescent="0.25">
      <c r="A155" s="40">
        <v>144</v>
      </c>
      <c r="B155" s="41">
        <v>31262</v>
      </c>
      <c r="C155" s="40" t="str">
        <f>'[2]Evalution 25'!B145</f>
        <v>Noura Khalid Mohammed Al-Essa</v>
      </c>
      <c r="D155" s="42">
        <v>44577</v>
      </c>
      <c r="E155" s="40" t="str">
        <f>'[2]Evalution 25'!C145</f>
        <v>Riyadh</v>
      </c>
      <c r="F155" s="40" t="str">
        <f>'[2]Evalution 25'!E145</f>
        <v>HR Manager-MMS</v>
      </c>
      <c r="G155" s="40" t="str">
        <f>'[2]Evalution 25'!D145</f>
        <v>HR</v>
      </c>
      <c r="H155" s="40">
        <f>'[2]Evalutaion 23'!G91</f>
        <v>4.0999999999999996</v>
      </c>
      <c r="I155" s="40">
        <f>'[2]Evalutaion 23'!H91</f>
        <v>4.3</v>
      </c>
      <c r="J155" s="40">
        <f t="shared" si="15"/>
        <v>4.1999999999999993</v>
      </c>
      <c r="K155" s="40">
        <f>'[2]Evalutaion 24'!G118</f>
        <v>4.9000000000000004</v>
      </c>
      <c r="L155" s="40">
        <f>'[2]Evalutaion 24'!H118</f>
        <v>5</v>
      </c>
      <c r="M155" s="40">
        <f t="shared" si="16"/>
        <v>4.95</v>
      </c>
      <c r="N155" s="40">
        <f>'[2]Evalution 25'!G145</f>
        <v>4.9000000000000004</v>
      </c>
      <c r="O155" s="40">
        <f>'[2]Evalution 25'!H145</f>
        <v>5</v>
      </c>
      <c r="P155" s="40">
        <f t="shared" si="17"/>
        <v>4.95</v>
      </c>
      <c r="Q155" s="43">
        <f t="shared" si="20"/>
        <v>3.5249999999999995</v>
      </c>
      <c r="R155" s="43" t="str">
        <f t="shared" si="18"/>
        <v>High</v>
      </c>
      <c r="S155" s="46" t="str">
        <f>IFERROR( _xlfn.XLOOKUP(Q155,[2]Result!$A$7:$A$15,[2]Result!$C$7:$C$15,"Out of range",-1),"N/A")</f>
        <v>2C</v>
      </c>
      <c r="T155" s="43">
        <f t="shared" si="14"/>
        <v>4.1999999999999993</v>
      </c>
      <c r="U155" s="25" t="str" cm="1">
        <f t="array" ref="U155">IF(OR(J155="NA",J155="NR",ISBLANK(J155)),J155,IFERROR(INDEX([2]Result!$C$7:$C$15,MATCH(1,(J155&gt;=[2]Result!$A$7:$A$15)*(J155&lt;=[2]Result!$B$7:$B$15),0)), "NA"))</f>
        <v>3B</v>
      </c>
      <c r="V155" s="25">
        <f t="shared" si="19"/>
        <v>4.95</v>
      </c>
      <c r="W155" s="25" t="str" cm="1">
        <f t="array" ref="W155">IF(OR(M155="NA",M155="NR",ISBLANK(M155)),M155,IFERROR(INDEX([2]Result!$C$7:$C$15,MATCH(1,(M155&gt;=[2]Result!$A$7:$A$15)*(M155&lt;=[2]Result!$B$7:$B$15),0)), "NA"))</f>
        <v>3C</v>
      </c>
    </row>
    <row r="156" spans="1:23" ht="15.75" x14ac:dyDescent="0.25">
      <c r="A156" s="40">
        <v>145</v>
      </c>
      <c r="B156" s="41">
        <v>6591</v>
      </c>
      <c r="C156" s="40" t="str">
        <f>'[2]Evalution 25'!B146</f>
        <v>Ola Mohamed Ismail Abdelaziz Serag</v>
      </c>
      <c r="D156" s="42">
        <v>44348</v>
      </c>
      <c r="E156" s="40" t="str">
        <f>'[2]Evalution 25'!C146</f>
        <v>Cairo</v>
      </c>
      <c r="F156" s="40" t="str">
        <f>'[2]Evalution 25'!E146</f>
        <v>Head of Marketing</v>
      </c>
      <c r="G156" s="40" t="str">
        <f>'[2]Evalution 25'!D146</f>
        <v>Marketing</v>
      </c>
      <c r="H156" s="40">
        <f>'[2]Evalutaion 23'!G92</f>
        <v>5</v>
      </c>
      <c r="I156" s="40">
        <f>'[2]Evalutaion 23'!H92</f>
        <v>4.8</v>
      </c>
      <c r="J156" s="40">
        <f t="shared" si="15"/>
        <v>4.9000000000000004</v>
      </c>
      <c r="K156" s="40">
        <f>'[2]Evalutaion 24'!G119</f>
        <v>5</v>
      </c>
      <c r="L156" s="40">
        <f>'[2]Evalutaion 24'!H119</f>
        <v>4.7</v>
      </c>
      <c r="M156" s="40">
        <f t="shared" si="16"/>
        <v>4.8499999999999996</v>
      </c>
      <c r="N156" s="40">
        <f>'[2]Evalution 25'!G146</f>
        <v>5</v>
      </c>
      <c r="O156" s="40">
        <f>'[2]Evalution 25'!H146</f>
        <v>4.8</v>
      </c>
      <c r="P156" s="40">
        <f t="shared" si="17"/>
        <v>4.9000000000000004</v>
      </c>
      <c r="Q156" s="43">
        <f t="shared" si="20"/>
        <v>3.6625000000000001</v>
      </c>
      <c r="R156" s="43" t="str">
        <f t="shared" si="18"/>
        <v>High</v>
      </c>
      <c r="S156" s="46" t="str">
        <f>IFERROR( _xlfn.XLOOKUP(Q156,[2]Result!$A$7:$A$15,[2]Result!$C$7:$C$15,"Out of range",-1),"N/A")</f>
        <v>3A</v>
      </c>
      <c r="T156" s="43">
        <f t="shared" si="14"/>
        <v>4.9000000000000004</v>
      </c>
      <c r="U156" s="25" t="str" cm="1">
        <f t="array" ref="U156">IF(OR(J156="NA",J156="NR",ISBLANK(J156)),J156,IFERROR(INDEX([2]Result!$C$7:$C$15,MATCH(1,(J156&gt;=[2]Result!$A$7:$A$15)*(J156&lt;=[2]Result!$B$7:$B$15),0)), "NA"))</f>
        <v>3C</v>
      </c>
      <c r="V156" s="25">
        <f t="shared" si="19"/>
        <v>4.8499999999999996</v>
      </c>
      <c r="W156" s="25" t="str" cm="1">
        <f t="array" ref="W156">IF(OR(M156="NA",M156="NR",ISBLANK(M156)),M156,IFERROR(INDEX([2]Result!$C$7:$C$15,MATCH(1,(M156&gt;=[2]Result!$A$7:$A$15)*(M156&lt;=[2]Result!$B$7:$B$15),0)), "NA"))</f>
        <v>3C</v>
      </c>
    </row>
    <row r="157" spans="1:23" ht="15.75" x14ac:dyDescent="0.25">
      <c r="A157" s="40">
        <v>146</v>
      </c>
      <c r="B157" s="41">
        <v>50080</v>
      </c>
      <c r="C157" s="40" t="str">
        <f>'[2]Evalution 25'!B147</f>
        <v>Omar Mostafa Youssef abdelrahman Hasaneen</v>
      </c>
      <c r="D157" s="42">
        <v>45662</v>
      </c>
      <c r="E157" s="40" t="str">
        <f>'[2]Evalution 25'!C147</f>
        <v>Cairo</v>
      </c>
      <c r="F157" s="40" t="str">
        <f>'[2]Evalution 25'!E147</f>
        <v>Traffic Senior Executive</v>
      </c>
      <c r="G157" s="40" t="str">
        <f>'[2]Evalution 25'!D147</f>
        <v>Traffic</v>
      </c>
      <c r="H157" s="40" t="s">
        <v>554</v>
      </c>
      <c r="I157" s="40" t="s">
        <v>554</v>
      </c>
      <c r="J157" s="40" t="str">
        <f t="shared" si="15"/>
        <v>NA</v>
      </c>
      <c r="K157" s="40" t="s">
        <v>554</v>
      </c>
      <c r="L157" s="40" t="s">
        <v>554</v>
      </c>
      <c r="M157" s="40" t="str">
        <f t="shared" si="16"/>
        <v>NA</v>
      </c>
      <c r="N157" s="40">
        <f>'[2]Evalution 25'!G147</f>
        <v>3.5</v>
      </c>
      <c r="O157" s="40">
        <f>'[2]Evalution 25'!H147</f>
        <v>3.5</v>
      </c>
      <c r="P157" s="40">
        <f t="shared" si="17"/>
        <v>3.5</v>
      </c>
      <c r="Q157" s="43">
        <f t="shared" si="20"/>
        <v>1.75</v>
      </c>
      <c r="R157" s="43" t="str">
        <f t="shared" si="18"/>
        <v>Average</v>
      </c>
      <c r="S157" s="44" t="str">
        <f>IFERROR( _xlfn.XLOOKUP(Q157,[2]Result!$A$7:$A$15,[2]Result!$C$7:$C$15,"Out of range",-1),"N/A")</f>
        <v>1C</v>
      </c>
      <c r="T157" s="43" t="str">
        <f t="shared" si="14"/>
        <v>NA</v>
      </c>
      <c r="U157" s="25" t="str" cm="1">
        <f t="array" ref="U157">IF(OR(J157="NA",J157="NR",ISBLANK(J157)),J157,IFERROR(INDEX([2]Result!$C$7:$C$15,MATCH(1,(J157&gt;=[2]Result!$A$7:$A$15)*(J157&lt;=[2]Result!$B$7:$B$15),0)), "NA"))</f>
        <v>NA</v>
      </c>
      <c r="V157" s="25" t="str">
        <f t="shared" si="19"/>
        <v>NA</v>
      </c>
      <c r="W157" s="25" t="str" cm="1">
        <f t="array" ref="W157">IF(OR(M157="NA",M157="NR",ISBLANK(M157)),M157,IFERROR(INDEX([2]Result!$C$7:$C$15,MATCH(1,(M157&gt;=[2]Result!$A$7:$A$15)*(M157&lt;=[2]Result!$B$7:$B$15),0)), "NA"))</f>
        <v>NA</v>
      </c>
    </row>
    <row r="158" spans="1:23" ht="15.75" x14ac:dyDescent="0.25">
      <c r="A158" s="40">
        <v>147</v>
      </c>
      <c r="B158" s="41">
        <v>10122</v>
      </c>
      <c r="C158" s="40" t="str">
        <f>'[2]Evalution 25'!B148</f>
        <v xml:space="preserve">Petra Ahwach </v>
      </c>
      <c r="D158" s="42">
        <v>44136</v>
      </c>
      <c r="E158" s="40" t="str">
        <f>'[2]Evalution 25'!C148</f>
        <v>Dubai</v>
      </c>
      <c r="F158" s="40" t="str">
        <f>'[2]Evalution 25'!E148</f>
        <v>Client Growth Senior Manager</v>
      </c>
      <c r="G158" s="40" t="str">
        <f>'[2]Evalution 25'!D148</f>
        <v>Client Growth</v>
      </c>
      <c r="H158" s="40">
        <f>'[2]Evalutaion 23'!G93</f>
        <v>4</v>
      </c>
      <c r="I158" s="40">
        <f>'[2]Evalutaion 23'!H93</f>
        <v>4</v>
      </c>
      <c r="J158" s="40">
        <f t="shared" si="15"/>
        <v>4</v>
      </c>
      <c r="K158" s="40">
        <f>'[2]Evalutaion 24'!G120</f>
        <v>3.8</v>
      </c>
      <c r="L158" s="40">
        <f>'[2]Evalutaion 24'!H120</f>
        <v>4</v>
      </c>
      <c r="M158" s="40">
        <f t="shared" si="16"/>
        <v>3.9</v>
      </c>
      <c r="N158" s="40">
        <f>'[2]Evalution 25'!G148</f>
        <v>3.6</v>
      </c>
      <c r="O158" s="40">
        <f>'[2]Evalution 25'!H148</f>
        <v>4.2</v>
      </c>
      <c r="P158" s="40">
        <f t="shared" si="17"/>
        <v>3.9000000000000004</v>
      </c>
      <c r="Q158" s="43">
        <f t="shared" si="20"/>
        <v>2.95</v>
      </c>
      <c r="R158" s="43" t="str">
        <f t="shared" si="18"/>
        <v>High</v>
      </c>
      <c r="S158" s="45" t="str">
        <f>IFERROR( _xlfn.XLOOKUP(Q158,[2]Result!$A$7:$A$15,[2]Result!$C$7:$C$15,"Out of range",-1),"N/A")</f>
        <v>2B</v>
      </c>
      <c r="T158" s="43">
        <f t="shared" si="14"/>
        <v>4</v>
      </c>
      <c r="U158" s="25" t="str" cm="1">
        <f t="array" ref="U158">IF(OR(J158="NA",J158="NR",ISBLANK(J158)),J158,IFERROR(INDEX([2]Result!$C$7:$C$15,MATCH(1,(J158&gt;=[2]Result!$A$7:$A$15)*(J158&lt;=[2]Result!$B$7:$B$15),0)), "NA"))</f>
        <v>3A</v>
      </c>
      <c r="V158" s="25">
        <f t="shared" si="19"/>
        <v>3.9</v>
      </c>
      <c r="W158" s="25" t="str" cm="1">
        <f t="array" ref="W158">IF(OR(M158="NA",M158="NR",ISBLANK(M158)),M158,IFERROR(INDEX([2]Result!$C$7:$C$15,MATCH(1,(M158&gt;=[2]Result!$A$7:$A$15)*(M158&lt;=[2]Result!$B$7:$B$15),0)), "NA"))</f>
        <v>3A</v>
      </c>
    </row>
    <row r="159" spans="1:23" ht="15.75" x14ac:dyDescent="0.25">
      <c r="A159" s="40">
        <v>148</v>
      </c>
      <c r="B159" s="41">
        <v>50007</v>
      </c>
      <c r="C159" s="40" t="str">
        <f>'[2]Evalution 25'!B149</f>
        <v>Pierre Raif Doumit</v>
      </c>
      <c r="D159" s="42">
        <v>45665</v>
      </c>
      <c r="E159" s="40" t="str">
        <f>'[2]Evalution 25'!C149</f>
        <v>Dubai</v>
      </c>
      <c r="F159" s="40" t="str">
        <f>'[2]Evalution 25'!E149</f>
        <v>Shahid Growth Manager</v>
      </c>
      <c r="G159" s="40" t="str">
        <f>'[2]Evalution 25'!D149</f>
        <v>Client Growth</v>
      </c>
      <c r="H159" s="40" t="s">
        <v>554</v>
      </c>
      <c r="I159" s="40" t="s">
        <v>554</v>
      </c>
      <c r="J159" s="40" t="str">
        <f t="shared" si="15"/>
        <v>NA</v>
      </c>
      <c r="K159" s="40" t="s">
        <v>554</v>
      </c>
      <c r="L159" s="40" t="s">
        <v>554</v>
      </c>
      <c r="M159" s="40" t="str">
        <f t="shared" si="16"/>
        <v>NA</v>
      </c>
      <c r="N159" s="40">
        <f>'[2]Evalution 25'!G149</f>
        <v>4</v>
      </c>
      <c r="O159" s="40">
        <f>'[2]Evalution 25'!H149</f>
        <v>4</v>
      </c>
      <c r="P159" s="40">
        <f t="shared" si="17"/>
        <v>4</v>
      </c>
      <c r="Q159" s="43">
        <f t="shared" si="20"/>
        <v>2</v>
      </c>
      <c r="R159" s="43" t="str">
        <f t="shared" si="18"/>
        <v>High</v>
      </c>
      <c r="S159" s="45" t="str">
        <f>IFERROR( _xlfn.XLOOKUP(Q159,[2]Result!$A$7:$A$15,[2]Result!$C$7:$C$15,"Out of range",-1),"N/A")</f>
        <v>1C</v>
      </c>
      <c r="T159" s="43" t="str">
        <f t="shared" si="14"/>
        <v>NA</v>
      </c>
      <c r="U159" s="25" t="str" cm="1">
        <f t="array" ref="U159">IF(OR(J159="NA",J159="NR",ISBLANK(J159)),J159,IFERROR(INDEX([2]Result!$C$7:$C$15,MATCH(1,(J159&gt;=[2]Result!$A$7:$A$15)*(J159&lt;=[2]Result!$B$7:$B$15),0)), "NA"))</f>
        <v>NA</v>
      </c>
      <c r="V159" s="25" t="str">
        <f t="shared" si="19"/>
        <v>NA</v>
      </c>
      <c r="W159" s="25" t="str" cm="1">
        <f t="array" ref="W159">IF(OR(M159="NA",M159="NR",ISBLANK(M159)),M159,IFERROR(INDEX([2]Result!$C$7:$C$15,MATCH(1,(M159&gt;=[2]Result!$A$7:$A$15)*(M159&lt;=[2]Result!$B$7:$B$15),0)), "NA"))</f>
        <v>NA</v>
      </c>
    </row>
    <row r="160" spans="1:23" ht="15.75" x14ac:dyDescent="0.25">
      <c r="A160" s="40">
        <v>149</v>
      </c>
      <c r="B160" s="41">
        <v>10854</v>
      </c>
      <c r="C160" s="40" t="str">
        <f>'[2]Evalution 25'!B150</f>
        <v>Mohammed Nasser Bin Nasban</v>
      </c>
      <c r="D160" s="42">
        <v>44458</v>
      </c>
      <c r="E160" s="40" t="str">
        <f>'[2]Evalution 25'!C150</f>
        <v>Riyadh</v>
      </c>
      <c r="F160" s="40" t="str">
        <f>'[2]Evalution 25'!E150</f>
        <v>Accountant Executive</v>
      </c>
      <c r="G160" s="40" t="str">
        <f>'[2]Evalution 25'!D150</f>
        <v>Finance</v>
      </c>
      <c r="H160" s="40">
        <f>'[2]Evalutaion 23'!G94</f>
        <v>2.9</v>
      </c>
      <c r="I160" s="40">
        <f>'[2]Evalutaion 23'!H94</f>
        <v>3</v>
      </c>
      <c r="J160" s="40">
        <f t="shared" si="15"/>
        <v>2.95</v>
      </c>
      <c r="K160" s="40">
        <f>'[2]Evalutaion 24'!G121</f>
        <v>2.8</v>
      </c>
      <c r="L160" s="40">
        <f>'[2]Evalutaion 24'!H121</f>
        <v>3.5</v>
      </c>
      <c r="M160" s="40">
        <f t="shared" si="16"/>
        <v>3.15</v>
      </c>
      <c r="N160" s="40">
        <f>'[2]Evalution 25'!G150</f>
        <v>3</v>
      </c>
      <c r="O160" s="40">
        <f>'[2]Evalution 25'!H150</f>
        <v>3</v>
      </c>
      <c r="P160" s="40">
        <f t="shared" si="17"/>
        <v>3</v>
      </c>
      <c r="Q160" s="43">
        <f t="shared" si="20"/>
        <v>2.2749999999999999</v>
      </c>
      <c r="R160" s="43" t="str">
        <f t="shared" si="18"/>
        <v>Average</v>
      </c>
      <c r="S160" s="44" t="str">
        <f>IFERROR( _xlfn.XLOOKUP(Q160,[2]Result!$A$7:$A$15,[2]Result!$C$7:$C$15,"Out of range",-1),"N/A")</f>
        <v>2A</v>
      </c>
      <c r="T160" s="43">
        <f t="shared" si="14"/>
        <v>2.95</v>
      </c>
      <c r="U160" s="25" t="str" cm="1">
        <f t="array" ref="U160">IF(OR(J160="NA",J160="NR",ISBLANK(J160)),J160,IFERROR(INDEX([2]Result!$C$7:$C$15,MATCH(1,(J160&gt;=[2]Result!$A$7:$A$15)*(J160&lt;=[2]Result!$B$7:$B$15),0)), "NA"))</f>
        <v>2B</v>
      </c>
      <c r="V160" s="25">
        <f t="shared" si="19"/>
        <v>3.15</v>
      </c>
      <c r="W160" s="25" t="str" cm="1">
        <f t="array" ref="W160">IF(OR(M160="NA",M160="NR",ISBLANK(M160)),M160,IFERROR(INDEX([2]Result!$C$7:$C$15,MATCH(1,(M160&gt;=[2]Result!$A$7:$A$15)*(M160&lt;=[2]Result!$B$7:$B$15),0)), "NA"))</f>
        <v>2C</v>
      </c>
    </row>
    <row r="161" spans="1:23" ht="15.75" x14ac:dyDescent="0.25">
      <c r="A161" s="40">
        <v>150</v>
      </c>
      <c r="B161" s="41">
        <v>31431</v>
      </c>
      <c r="C161" s="40" t="str">
        <f>'[2]Evalution 25'!B151</f>
        <v>Rami Adib Saoud</v>
      </c>
      <c r="D161" s="42">
        <v>44660</v>
      </c>
      <c r="E161" s="40" t="str">
        <f>'[2]Evalution 25'!C151</f>
        <v>Riyadh</v>
      </c>
      <c r="F161" s="40" t="str">
        <f>'[2]Evalution 25'!E151</f>
        <v>Content Solutions Manager</v>
      </c>
      <c r="G161" s="40" t="str">
        <f>'[2]Evalution 25'!D151</f>
        <v>Content Solutions</v>
      </c>
      <c r="H161" s="40">
        <f>'[2]Evalutaion 23'!G95</f>
        <v>4.5</v>
      </c>
      <c r="I161" s="40">
        <f>'[2]Evalutaion 23'!H95</f>
        <v>4.5</v>
      </c>
      <c r="J161" s="40">
        <f t="shared" si="15"/>
        <v>4.5</v>
      </c>
      <c r="K161" s="40">
        <f>'[2]Evalutaion 24'!G122</f>
        <v>4.7</v>
      </c>
      <c r="L161" s="40">
        <f>'[2]Evalutaion 24'!H122</f>
        <v>4.5</v>
      </c>
      <c r="M161" s="40">
        <f t="shared" si="16"/>
        <v>4.5999999999999996</v>
      </c>
      <c r="N161" s="40">
        <f>'[2]Evalution 25'!G153</f>
        <v>5</v>
      </c>
      <c r="O161" s="40">
        <f>'[2]Evalution 25'!H153</f>
        <v>5</v>
      </c>
      <c r="P161" s="40">
        <f t="shared" si="17"/>
        <v>5</v>
      </c>
      <c r="Q161" s="43">
        <f t="shared" si="20"/>
        <v>3.5249999999999999</v>
      </c>
      <c r="R161" s="43" t="str">
        <f t="shared" si="18"/>
        <v>High</v>
      </c>
      <c r="S161" s="45" t="str">
        <f>IFERROR( _xlfn.XLOOKUP(Q161,[2]Result!$A$7:$A$15,[2]Result!$C$7:$C$15,"Out of range",-1),"N/A")</f>
        <v>2C</v>
      </c>
      <c r="T161" s="43">
        <f t="shared" si="14"/>
        <v>4.5</v>
      </c>
      <c r="U161" s="25" t="str" cm="1">
        <f t="array" ref="U161">IF(OR(J161="NA",J161="NR",ISBLANK(J161)),J161,IFERROR(INDEX([2]Result!$C$7:$C$15,MATCH(1,(J161&gt;=[2]Result!$A$7:$A$15)*(J161&lt;=[2]Result!$B$7:$B$15),0)), "NA"))</f>
        <v>3B</v>
      </c>
      <c r="V161" s="25">
        <f t="shared" si="19"/>
        <v>4.5999999999999996</v>
      </c>
      <c r="W161" s="25" t="str" cm="1">
        <f t="array" ref="W161">IF(OR(M161="NA",M161="NR",ISBLANK(M161)),M161,IFERROR(INDEX([2]Result!$C$7:$C$15,MATCH(1,(M161&gt;=[2]Result!$A$7:$A$15)*(M161&lt;=[2]Result!$B$7:$B$15),0)), "NA"))</f>
        <v>3C</v>
      </c>
    </row>
    <row r="162" spans="1:23" ht="15.75" x14ac:dyDescent="0.25">
      <c r="A162" s="40">
        <v>151</v>
      </c>
      <c r="B162" s="41">
        <v>48477</v>
      </c>
      <c r="C162" s="40" t="str">
        <f>'[2]Evalution 25'!B152</f>
        <v>Ramy Adel Mohamed Afifi Ibrahim</v>
      </c>
      <c r="D162" s="42">
        <v>45277</v>
      </c>
      <c r="E162" s="40" t="str">
        <f>'[2]Evalution 25'!C152</f>
        <v>Cairo</v>
      </c>
      <c r="F162" s="40" t="str">
        <f>'[2]Evalution 25'!E152</f>
        <v>Traffic Senior Executive</v>
      </c>
      <c r="G162" s="40" t="str">
        <f>'[2]Evalution 25'!D152</f>
        <v>Traffic</v>
      </c>
      <c r="H162" s="40" t="s">
        <v>554</v>
      </c>
      <c r="I162" s="40" t="s">
        <v>554</v>
      </c>
      <c r="J162" s="40" t="str">
        <f t="shared" si="15"/>
        <v>NR</v>
      </c>
      <c r="K162" s="40">
        <f>'[2]Evalutaion 24'!G123</f>
        <v>3.4</v>
      </c>
      <c r="L162" s="40">
        <f>'[2]Evalutaion 24'!H123</f>
        <v>3.3</v>
      </c>
      <c r="M162" s="40">
        <f t="shared" si="16"/>
        <v>3.3499999999999996</v>
      </c>
      <c r="N162" s="40">
        <f>'[2]Evalution 25'!G152</f>
        <v>3.6</v>
      </c>
      <c r="O162" s="40">
        <f>'[2]Evalution 25'!H152</f>
        <v>3.8</v>
      </c>
      <c r="P162" s="40">
        <f t="shared" si="17"/>
        <v>3.7</v>
      </c>
      <c r="Q162" s="43">
        <f t="shared" si="20"/>
        <v>2.35</v>
      </c>
      <c r="R162" s="43" t="str">
        <f t="shared" si="18"/>
        <v>Average</v>
      </c>
      <c r="S162" s="44" t="str">
        <f>IFERROR( _xlfn.XLOOKUP(Q162,[2]Result!$A$7:$A$15,[2]Result!$C$7:$C$15,"Out of range",-1),"N/A")</f>
        <v>2A</v>
      </c>
      <c r="T162" s="43" t="str">
        <f t="shared" si="14"/>
        <v>NR</v>
      </c>
      <c r="U162" s="25" t="str" cm="1">
        <f t="array" ref="U162">IF(OR(J162="NA",J162="NR",ISBLANK(J162)),J162,IFERROR(INDEX([2]Result!$C$7:$C$15,MATCH(1,(J162&gt;=[2]Result!$A$7:$A$15)*(J162&lt;=[2]Result!$B$7:$B$15),0)), "NA"))</f>
        <v>NR</v>
      </c>
      <c r="V162" s="25">
        <f t="shared" si="19"/>
        <v>3.3499999999999996</v>
      </c>
      <c r="W162" s="25" t="str" cm="1">
        <f t="array" ref="W162">IF(OR(M162="NA",M162="NR",ISBLANK(M162)),M162,IFERROR(INDEX([2]Result!$C$7:$C$15,MATCH(1,(M162&gt;=[2]Result!$A$7:$A$15)*(M162&lt;=[2]Result!$B$7:$B$15),0)), "NA"))</f>
        <v>2C</v>
      </c>
    </row>
    <row r="163" spans="1:23" ht="15.75" x14ac:dyDescent="0.25">
      <c r="A163" s="40">
        <v>152</v>
      </c>
      <c r="B163" s="41">
        <v>10836</v>
      </c>
      <c r="C163" s="40" t="str">
        <f>'[2]Evalution 25'!B153</f>
        <v>Ramzi Adil Ghanem</v>
      </c>
      <c r="D163" s="42">
        <v>44249</v>
      </c>
      <c r="E163" s="40" t="str">
        <f>'[2]Evalution 25'!C153</f>
        <v>Riyadh</v>
      </c>
      <c r="F163" s="40" t="str">
        <f>'[2]Evalution 25'!E153</f>
        <v>Client Growth Lead</v>
      </c>
      <c r="G163" s="40" t="str">
        <f>'[2]Evalution 25'!D153</f>
        <v>Client Growth</v>
      </c>
      <c r="H163" s="40">
        <f>'[2]Evalutaion 23'!G96</f>
        <v>0</v>
      </c>
      <c r="I163" s="40">
        <f>'[2]Evalutaion 23'!H96</f>
        <v>4.3</v>
      </c>
      <c r="J163" s="40">
        <f t="shared" si="15"/>
        <v>2.15</v>
      </c>
      <c r="K163" s="40">
        <f>'[2]Evalutaion 24'!G124</f>
        <v>4.0999999999999996</v>
      </c>
      <c r="L163" s="40">
        <f>'[2]Evalutaion 24'!H124</f>
        <v>4</v>
      </c>
      <c r="M163" s="40">
        <f t="shared" si="16"/>
        <v>4.05</v>
      </c>
      <c r="N163" s="40">
        <f>'[2]Evalution 25'!G153</f>
        <v>5</v>
      </c>
      <c r="O163" s="40">
        <f>'[2]Evalution 25'!H153</f>
        <v>5</v>
      </c>
      <c r="P163" s="40">
        <f t="shared" si="17"/>
        <v>5</v>
      </c>
      <c r="Q163" s="43">
        <f t="shared" si="20"/>
        <v>2.8</v>
      </c>
      <c r="R163" s="43" t="str">
        <f t="shared" si="18"/>
        <v>High</v>
      </c>
      <c r="S163" s="45" t="str">
        <f>IFERROR( _xlfn.XLOOKUP(Q163,[2]Result!$A$7:$A$15,[2]Result!$C$7:$C$15,"Out of range",-1),"N/A")</f>
        <v>2B</v>
      </c>
      <c r="T163" s="43">
        <f t="shared" si="14"/>
        <v>2.15</v>
      </c>
      <c r="U163" s="25" t="str" cm="1">
        <f t="array" ref="U163">IF(OR(J163="NA",J163="NR",ISBLANK(J163)),J163,IFERROR(INDEX([2]Result!$C$7:$C$15,MATCH(1,(J163&gt;=[2]Result!$A$7:$A$15)*(J163&lt;=[2]Result!$B$7:$B$15),0)), "NA"))</f>
        <v>2A</v>
      </c>
      <c r="V163" s="25">
        <f t="shared" si="19"/>
        <v>4.05</v>
      </c>
      <c r="W163" s="25" t="str" cm="1">
        <f t="array" ref="W163">IF(OR(M163="NA",M163="NR",ISBLANK(M163)),M163,IFERROR(INDEX([2]Result!$C$7:$C$15,MATCH(1,(M163&gt;=[2]Result!$A$7:$A$15)*(M163&lt;=[2]Result!$B$7:$B$15),0)), "NA"))</f>
        <v>NA</v>
      </c>
    </row>
    <row r="164" spans="1:23" ht="15.75" x14ac:dyDescent="0.25">
      <c r="A164" s="40">
        <v>153</v>
      </c>
      <c r="B164" s="41">
        <v>50023</v>
      </c>
      <c r="C164" s="40" t="str">
        <f>'[2]Evalution 25'!B154</f>
        <v>Rawan Rami Mughrabi</v>
      </c>
      <c r="D164" s="42">
        <v>45635</v>
      </c>
      <c r="E164" s="40" t="str">
        <f>'[2]Evalution 25'!C154</f>
        <v>Dubai</v>
      </c>
      <c r="F164" s="40" t="str">
        <f>'[2]Evalution 25'!E154</f>
        <v>Traffic Executive</v>
      </c>
      <c r="G164" s="40" t="str">
        <f>'[2]Evalution 25'!D154</f>
        <v>Traffic</v>
      </c>
      <c r="H164" s="40" t="s">
        <v>554</v>
      </c>
      <c r="I164" s="40" t="s">
        <v>554</v>
      </c>
      <c r="J164" s="40" t="str">
        <f t="shared" si="15"/>
        <v>NA</v>
      </c>
      <c r="K164" s="40" t="s">
        <v>554</v>
      </c>
      <c r="L164" s="40" t="s">
        <v>554</v>
      </c>
      <c r="M164" s="40" t="str">
        <f t="shared" si="16"/>
        <v>NR</v>
      </c>
      <c r="N164" s="40">
        <f>'[2]Evalution 25'!G154</f>
        <v>4</v>
      </c>
      <c r="O164" s="40">
        <f>'[2]Evalution 25'!H154</f>
        <v>4</v>
      </c>
      <c r="P164" s="40">
        <f t="shared" si="17"/>
        <v>4</v>
      </c>
      <c r="Q164" s="43">
        <f t="shared" si="20"/>
        <v>2</v>
      </c>
      <c r="R164" s="43" t="str">
        <f t="shared" si="18"/>
        <v>High</v>
      </c>
      <c r="S164" s="45" t="str">
        <f>IFERROR( _xlfn.XLOOKUP(Q164,[2]Result!$A$7:$A$15,[2]Result!$C$7:$C$15,"Out of range",-1),"N/A")</f>
        <v>1C</v>
      </c>
      <c r="T164" s="43" t="str">
        <f t="shared" si="14"/>
        <v>NA</v>
      </c>
      <c r="U164" s="25" t="str" cm="1">
        <f t="array" ref="U164">IF(OR(J164="NA",J164="NR",ISBLANK(J164)),J164,IFERROR(INDEX([2]Result!$C$7:$C$15,MATCH(1,(J164&gt;=[2]Result!$A$7:$A$15)*(J164&lt;=[2]Result!$B$7:$B$15),0)), "NA"))</f>
        <v>NA</v>
      </c>
      <c r="V164" s="25" t="str">
        <f t="shared" si="19"/>
        <v>NR</v>
      </c>
      <c r="W164" s="25" t="str" cm="1">
        <f t="array" ref="W164">IF(OR(M164="NA",M164="NR",ISBLANK(M164)),M164,IFERROR(INDEX([2]Result!$C$7:$C$15,MATCH(1,(M164&gt;=[2]Result!$A$7:$A$15)*(M164&lt;=[2]Result!$B$7:$B$15),0)), "NA"))</f>
        <v>NR</v>
      </c>
    </row>
    <row r="165" spans="1:23" ht="15.75" x14ac:dyDescent="0.25">
      <c r="A165" s="40">
        <v>154</v>
      </c>
      <c r="B165" s="41">
        <v>50431</v>
      </c>
      <c r="C165" s="40" t="str">
        <f>'[2]Evalution 25'!B155</f>
        <v>Razan Faisal Jamaan Alghamdi</v>
      </c>
      <c r="D165" s="42">
        <v>45767</v>
      </c>
      <c r="E165" s="40" t="str">
        <f>'[2]Evalution 25'!C155</f>
        <v>Riyadh</v>
      </c>
      <c r="F165" s="40" t="str">
        <f>'[2]Evalution 25'!E155</f>
        <v>Client Growth Executive</v>
      </c>
      <c r="G165" s="40" t="str">
        <f>'[2]Evalution 25'!D155</f>
        <v>Client Growth</v>
      </c>
      <c r="H165" s="40" t="s">
        <v>554</v>
      </c>
      <c r="I165" s="40" t="s">
        <v>554</v>
      </c>
      <c r="J165" s="40" t="str">
        <f t="shared" si="15"/>
        <v>NA</v>
      </c>
      <c r="K165" s="40" t="s">
        <v>554</v>
      </c>
      <c r="L165" s="40" t="s">
        <v>554</v>
      </c>
      <c r="M165" s="40" t="str">
        <f t="shared" si="16"/>
        <v>NA</v>
      </c>
      <c r="N165" s="40">
        <f>'[2]Evalution 25'!G155</f>
        <v>0</v>
      </c>
      <c r="O165" s="40">
        <f>'[2]Evalution 25'!H155</f>
        <v>4.3</v>
      </c>
      <c r="P165" s="40">
        <f t="shared" si="17"/>
        <v>2.15</v>
      </c>
      <c r="Q165" s="43">
        <f t="shared" si="20"/>
        <v>1.075</v>
      </c>
      <c r="R165" s="43" t="str">
        <f t="shared" si="18"/>
        <v>Poor</v>
      </c>
      <c r="S165" s="47" t="str">
        <f>IFERROR( _xlfn.XLOOKUP(Q165,[2]Result!$A$7:$A$15,[2]Result!$C$7:$C$15,"Out of range",-1),"N/A")</f>
        <v>1A</v>
      </c>
      <c r="T165" s="43" t="str">
        <f t="shared" si="14"/>
        <v>NA</v>
      </c>
      <c r="U165" s="25" t="str" cm="1">
        <f t="array" ref="U165">IF(OR(J165="NA",J165="NR",ISBLANK(J165)),J165,IFERROR(INDEX([2]Result!$C$7:$C$15,MATCH(1,(J165&gt;=[2]Result!$A$7:$A$15)*(J165&lt;=[2]Result!$B$7:$B$15),0)), "NA"))</f>
        <v>NA</v>
      </c>
      <c r="V165" s="25" t="str">
        <f t="shared" si="19"/>
        <v>NA</v>
      </c>
      <c r="W165" s="25" t="str" cm="1">
        <f t="array" ref="W165">IF(OR(M165="NA",M165="NR",ISBLANK(M165)),M165,IFERROR(INDEX([2]Result!$C$7:$C$15,MATCH(1,(M165&gt;=[2]Result!$A$7:$A$15)*(M165&lt;=[2]Result!$B$7:$B$15),0)), "NA"))</f>
        <v>NA</v>
      </c>
    </row>
    <row r="166" spans="1:23" ht="15.75" x14ac:dyDescent="0.25">
      <c r="A166" s="40">
        <v>155</v>
      </c>
      <c r="B166" s="41">
        <v>48443</v>
      </c>
      <c r="C166" s="40" t="str">
        <f>'[2]Evalution 25'!B156</f>
        <v>Razan Mansour Alkhraiji</v>
      </c>
      <c r="D166" s="42">
        <v>45294</v>
      </c>
      <c r="E166" s="40" t="str">
        <f>'[2]Evalution 25'!C156</f>
        <v>Riyadh</v>
      </c>
      <c r="F166" s="40" t="str">
        <f>'[2]Evalution 25'!E156</f>
        <v>Legal Counsel</v>
      </c>
      <c r="G166" s="40" t="str">
        <f>'[2]Evalution 25'!D156</f>
        <v>Legal</v>
      </c>
      <c r="H166" s="40" t="s">
        <v>554</v>
      </c>
      <c r="I166" s="40" t="s">
        <v>554</v>
      </c>
      <c r="J166" s="40" t="str">
        <f t="shared" si="15"/>
        <v>NA</v>
      </c>
      <c r="K166" s="40" t="s">
        <v>267</v>
      </c>
      <c r="L166" s="40" t="s">
        <v>267</v>
      </c>
      <c r="M166" s="40" t="str">
        <f t="shared" si="16"/>
        <v>NR</v>
      </c>
      <c r="N166" s="40">
        <f>'[2]Evalution 25'!G156</f>
        <v>0</v>
      </c>
      <c r="O166" s="40">
        <f>'[2]Evalution 25'!H156</f>
        <v>0</v>
      </c>
      <c r="P166" s="40">
        <f t="shared" si="17"/>
        <v>0</v>
      </c>
      <c r="Q166" s="43">
        <f t="shared" si="20"/>
        <v>0</v>
      </c>
      <c r="R166" s="43" t="str">
        <f t="shared" si="18"/>
        <v>Poor</v>
      </c>
      <c r="S166" s="47" t="str">
        <f>IFERROR( _xlfn.XLOOKUP(Q166,[2]Result!$A$7:$A$15,[2]Result!$C$7:$C$15,"Out of range",-1),"N/A")</f>
        <v>1A</v>
      </c>
      <c r="T166" s="43" t="str">
        <f t="shared" si="14"/>
        <v>NA</v>
      </c>
      <c r="U166" s="25" t="str" cm="1">
        <f t="array" ref="U166">IF(OR(J166="NA",J166="NR",ISBLANK(J166)),J166,IFERROR(INDEX([2]Result!$C$7:$C$15,MATCH(1,(J166&gt;=[2]Result!$A$7:$A$15)*(J166&lt;=[2]Result!$B$7:$B$15),0)), "NA"))</f>
        <v>NA</v>
      </c>
      <c r="V166" s="25" t="str">
        <f t="shared" si="19"/>
        <v>NR</v>
      </c>
      <c r="W166" s="25" t="str" cm="1">
        <f t="array" ref="W166">IF(OR(M166="NA",M166="NR",ISBLANK(M166)),M166,IFERROR(INDEX([2]Result!$C$7:$C$15,MATCH(1,(M166&gt;=[2]Result!$A$7:$A$15)*(M166&lt;=[2]Result!$B$7:$B$15),0)), "NA"))</f>
        <v>NR</v>
      </c>
    </row>
    <row r="167" spans="1:23" ht="15.75" x14ac:dyDescent="0.25">
      <c r="A167" s="40">
        <v>156</v>
      </c>
      <c r="B167" s="41">
        <v>10822</v>
      </c>
      <c r="C167" s="40" t="str">
        <f>'[2]Evalution 25'!B157</f>
        <v>Mohannad  Hesham Mohamed Khalaf</v>
      </c>
      <c r="D167" s="42">
        <v>44150</v>
      </c>
      <c r="E167" s="40" t="str">
        <f>'[2]Evalution 25'!C157</f>
        <v>Cairo</v>
      </c>
      <c r="F167" s="40" t="str">
        <f>'[2]Evalution 25'!E157</f>
        <v>Treasury Senior Accountant</v>
      </c>
      <c r="G167" s="40" t="str">
        <f>'[2]Evalution 25'!D157</f>
        <v>Finance</v>
      </c>
      <c r="H167" s="40">
        <f>'[2]Evalutaion 23'!G97</f>
        <v>0</v>
      </c>
      <c r="I167" s="40">
        <f>'[2]Evalutaion 23'!H97</f>
        <v>3.5</v>
      </c>
      <c r="J167" s="40">
        <f t="shared" si="15"/>
        <v>1.75</v>
      </c>
      <c r="K167" s="40">
        <f>'[2]Evalutaion 24'!G126</f>
        <v>4</v>
      </c>
      <c r="L167" s="40">
        <f>'[2]Evalutaion 24'!H126</f>
        <v>4</v>
      </c>
      <c r="M167" s="40">
        <f t="shared" si="16"/>
        <v>4</v>
      </c>
      <c r="N167" s="40">
        <f>'[2]Evalution 25'!G157</f>
        <v>3</v>
      </c>
      <c r="O167" s="40">
        <f>'[2]Evalution 25'!H157</f>
        <v>3</v>
      </c>
      <c r="P167" s="40">
        <f t="shared" si="17"/>
        <v>3</v>
      </c>
      <c r="Q167" s="43">
        <f t="shared" si="20"/>
        <v>2.1875</v>
      </c>
      <c r="R167" s="43" t="str">
        <f t="shared" si="18"/>
        <v>Average</v>
      </c>
      <c r="S167" s="44" t="str">
        <f>IFERROR( _xlfn.XLOOKUP(Q167,[2]Result!$A$7:$A$15,[2]Result!$C$7:$C$15,"Out of range",-1),"N/A")</f>
        <v>2A</v>
      </c>
      <c r="T167" s="43">
        <f t="shared" si="14"/>
        <v>1.75</v>
      </c>
      <c r="U167" s="25" t="str" cm="1">
        <f t="array" ref="U167">IF(OR(J167="NA",J167="NR",ISBLANK(J167)),J167,IFERROR(INDEX([2]Result!$C$7:$C$15,MATCH(1,(J167&gt;=[2]Result!$A$7:$A$15)*(J167&lt;=[2]Result!$B$7:$B$15),0)), "NA"))</f>
        <v>1C</v>
      </c>
      <c r="V167" s="25">
        <f t="shared" si="19"/>
        <v>4</v>
      </c>
      <c r="W167" s="25" t="str" cm="1">
        <f t="array" ref="W167">IF(OR(M167="NA",M167="NR",ISBLANK(M167)),M167,IFERROR(INDEX([2]Result!$C$7:$C$15,MATCH(1,(M167&gt;=[2]Result!$A$7:$A$15)*(M167&lt;=[2]Result!$B$7:$B$15),0)), "NA"))</f>
        <v>3A</v>
      </c>
    </row>
    <row r="168" spans="1:23" ht="15.75" x14ac:dyDescent="0.25">
      <c r="A168" s="40">
        <v>157</v>
      </c>
      <c r="B168" s="41">
        <v>4686</v>
      </c>
      <c r="C168" s="40" t="str">
        <f>'[2]Evalution 25'!B158</f>
        <v xml:space="preserve">Richard  William  Edward Addington </v>
      </c>
      <c r="D168" s="42">
        <v>43514</v>
      </c>
      <c r="E168" s="40" t="str">
        <f>'[2]Evalution 25'!C158</f>
        <v>Dubai</v>
      </c>
      <c r="F168" s="40" t="str">
        <f>'[2]Evalution 25'!E158</f>
        <v>Agency Partnerships Lead</v>
      </c>
      <c r="G168" s="40" t="str">
        <f>'[2]Evalution 25'!D158</f>
        <v>Agency Partnerships</v>
      </c>
      <c r="H168" s="40">
        <f>'[2]Evalutaion 23'!G98</f>
        <v>0</v>
      </c>
      <c r="I168" s="40">
        <f>'[2]Evalutaion 23'!H98</f>
        <v>4.2</v>
      </c>
      <c r="J168" s="40">
        <f t="shared" si="15"/>
        <v>2.1</v>
      </c>
      <c r="K168" s="40">
        <f>'[2]Evalutaion 24'!G127</f>
        <v>4</v>
      </c>
      <c r="L168" s="40">
        <f>'[2]Evalutaion 24'!H127</f>
        <v>3.8</v>
      </c>
      <c r="M168" s="40">
        <f t="shared" si="16"/>
        <v>3.9</v>
      </c>
      <c r="N168" s="40">
        <f>'[2]Evalution 25'!G158</f>
        <v>5</v>
      </c>
      <c r="O168" s="40">
        <f>'[2]Evalution 25'!H158</f>
        <v>5</v>
      </c>
      <c r="P168" s="40">
        <f t="shared" si="17"/>
        <v>5</v>
      </c>
      <c r="Q168" s="43">
        <f t="shared" si="20"/>
        <v>2.75</v>
      </c>
      <c r="R168" s="43" t="str">
        <f t="shared" si="18"/>
        <v>High</v>
      </c>
      <c r="S168" s="45" t="str">
        <f>IFERROR( _xlfn.XLOOKUP(Q168,[2]Result!$A$7:$A$15,[2]Result!$C$7:$C$15,"Out of range",-1),"N/A")</f>
        <v>2B</v>
      </c>
      <c r="T168" s="43">
        <f t="shared" si="14"/>
        <v>2.1</v>
      </c>
      <c r="U168" s="25" t="str" cm="1">
        <f t="array" ref="U168">IF(OR(J168="NA",J168="NR",ISBLANK(J168)),J168,IFERROR(INDEX([2]Result!$C$7:$C$15,MATCH(1,(J168&gt;=[2]Result!$A$7:$A$15)*(J168&lt;=[2]Result!$B$7:$B$15),0)), "NA"))</f>
        <v>2A</v>
      </c>
      <c r="V168" s="25">
        <f t="shared" si="19"/>
        <v>3.9</v>
      </c>
      <c r="W168" s="25" t="str" cm="1">
        <f t="array" ref="W168">IF(OR(M168="NA",M168="NR",ISBLANK(M168)),M168,IFERROR(INDEX([2]Result!$C$7:$C$15,MATCH(1,(M168&gt;=[2]Result!$A$7:$A$15)*(M168&lt;=[2]Result!$B$7:$B$15),0)), "NA"))</f>
        <v>3A</v>
      </c>
    </row>
    <row r="169" spans="1:23" ht="15.75" x14ac:dyDescent="0.25">
      <c r="A169" s="40">
        <v>158</v>
      </c>
      <c r="B169" s="41">
        <v>49420</v>
      </c>
      <c r="C169" s="40" t="str">
        <f>'[2]Evalution 25'!B159</f>
        <v>Rinaldo Itani</v>
      </c>
      <c r="D169" s="42">
        <v>45509</v>
      </c>
      <c r="E169" s="40" t="str">
        <f>'[2]Evalution 25'!C159</f>
        <v>Dubai</v>
      </c>
      <c r="F169" s="40" t="str">
        <f>'[2]Evalution 25'!E159</f>
        <v>Agency Partnerships Senior Executive</v>
      </c>
      <c r="G169" s="40" t="str">
        <f>'[2]Evalution 25'!D159</f>
        <v>Agency Partnerships</v>
      </c>
      <c r="H169" s="40" t="s">
        <v>554</v>
      </c>
      <c r="I169" s="40" t="s">
        <v>554</v>
      </c>
      <c r="J169" s="40" t="str">
        <f t="shared" si="15"/>
        <v>NA</v>
      </c>
      <c r="K169" s="40">
        <f>'[2]Evalutaion 24'!G128</f>
        <v>4.3</v>
      </c>
      <c r="L169" s="40">
        <f>'[2]Evalutaion 24'!H128</f>
        <v>4</v>
      </c>
      <c r="M169" s="40">
        <f t="shared" si="16"/>
        <v>4.1500000000000004</v>
      </c>
      <c r="N169" s="40">
        <f>'[2]Evalution 25'!G159</f>
        <v>4.5</v>
      </c>
      <c r="O169" s="40">
        <f>'[2]Evalution 25'!H159</f>
        <v>4.3</v>
      </c>
      <c r="P169" s="40">
        <f t="shared" si="17"/>
        <v>4.4000000000000004</v>
      </c>
      <c r="Q169" s="43">
        <f t="shared" si="20"/>
        <v>2.85</v>
      </c>
      <c r="R169" s="43" t="str">
        <f t="shared" si="18"/>
        <v>High</v>
      </c>
      <c r="S169" s="45" t="str">
        <f>IFERROR( _xlfn.XLOOKUP(Q169,[2]Result!$A$7:$A$15,[2]Result!$C$7:$C$15,"Out of range",-1),"N/A")</f>
        <v>2B</v>
      </c>
      <c r="T169" s="43" t="str">
        <f t="shared" si="14"/>
        <v>NA</v>
      </c>
      <c r="U169" s="25" t="str" cm="1">
        <f t="array" ref="U169">IF(OR(J169="NA",J169="NR",ISBLANK(J169)),J169,IFERROR(INDEX([2]Result!$C$7:$C$15,MATCH(1,(J169&gt;=[2]Result!$A$7:$A$15)*(J169&lt;=[2]Result!$B$7:$B$15),0)), "NA"))</f>
        <v>NA</v>
      </c>
      <c r="V169" s="25">
        <f t="shared" si="19"/>
        <v>4.1500000000000004</v>
      </c>
      <c r="W169" s="25" t="str" cm="1">
        <f t="array" ref="W169">IF(OR(M169="NA",M169="NR",ISBLANK(M169)),M169,IFERROR(INDEX([2]Result!$C$7:$C$15,MATCH(1,(M169&gt;=[2]Result!$A$7:$A$15)*(M169&lt;=[2]Result!$B$7:$B$15),0)), "NA"))</f>
        <v>3B</v>
      </c>
    </row>
    <row r="170" spans="1:23" ht="15.75" x14ac:dyDescent="0.25">
      <c r="A170" s="40">
        <v>159</v>
      </c>
      <c r="B170" s="41">
        <v>6616</v>
      </c>
      <c r="C170" s="40" t="str">
        <f>'[2]Evalution 25'!B160</f>
        <v>Roba Ahmed Abdelmetaal Omar</v>
      </c>
      <c r="D170" s="42">
        <v>44542</v>
      </c>
      <c r="E170" s="40" t="str">
        <f>'[2]Evalution 25'!C160</f>
        <v>Cairo</v>
      </c>
      <c r="F170" s="40" t="str">
        <f>'[2]Evalution 25'!E160</f>
        <v>Marketing and Analytics Manager</v>
      </c>
      <c r="G170" s="40" t="str">
        <f>'[2]Evalution 25'!D160</f>
        <v>Marketing</v>
      </c>
      <c r="H170" s="40">
        <f>'[2]Evalutaion 23'!G99</f>
        <v>4</v>
      </c>
      <c r="I170" s="40">
        <f>'[2]Evalutaion 23'!H99</f>
        <v>4</v>
      </c>
      <c r="J170" s="40">
        <f t="shared" si="15"/>
        <v>4</v>
      </c>
      <c r="K170" s="40">
        <f>'[2]Evalutaion 24'!G129</f>
        <v>4</v>
      </c>
      <c r="L170" s="40">
        <f>'[2]Evalutaion 24'!H129</f>
        <v>3.7</v>
      </c>
      <c r="M170" s="40">
        <f t="shared" si="16"/>
        <v>3.85</v>
      </c>
      <c r="N170" s="40">
        <f>'[2]Evalution 25'!G160</f>
        <v>0</v>
      </c>
      <c r="O170" s="40">
        <f>'[2]Evalution 25'!H160</f>
        <v>0</v>
      </c>
      <c r="P170" s="40">
        <f t="shared" si="17"/>
        <v>0</v>
      </c>
      <c r="Q170" s="43">
        <f t="shared" si="20"/>
        <v>1.9624999999999999</v>
      </c>
      <c r="R170" s="43" t="str">
        <f t="shared" si="18"/>
        <v>Poor</v>
      </c>
      <c r="S170" s="45" t="str">
        <f>IFERROR( _xlfn.XLOOKUP(Q170,[2]Result!$A$7:$A$15,[2]Result!$C$7:$C$15,"Out of range",-1),"N/A")</f>
        <v>1C</v>
      </c>
      <c r="T170" s="43">
        <f t="shared" si="14"/>
        <v>4</v>
      </c>
      <c r="U170" s="25" t="str" cm="1">
        <f t="array" ref="U170">IF(OR(J170="NA",J170="NR",ISBLANK(J170)),J170,IFERROR(INDEX([2]Result!$C$7:$C$15,MATCH(1,(J170&gt;=[2]Result!$A$7:$A$15)*(J170&lt;=[2]Result!$B$7:$B$15),0)), "NA"))</f>
        <v>3A</v>
      </c>
      <c r="V170" s="25">
        <f t="shared" si="19"/>
        <v>3.85</v>
      </c>
      <c r="W170" s="25" t="str" cm="1">
        <f t="array" ref="W170">IF(OR(M170="NA",M170="NR",ISBLANK(M170)),M170,IFERROR(INDEX([2]Result!$C$7:$C$15,MATCH(1,(M170&gt;=[2]Result!$A$7:$A$15)*(M170&lt;=[2]Result!$B$7:$B$15),0)), "NA"))</f>
        <v>3A</v>
      </c>
    </row>
    <row r="171" spans="1:23" ht="15.75" x14ac:dyDescent="0.25">
      <c r="A171" s="40">
        <v>160</v>
      </c>
      <c r="B171" s="41">
        <v>10892</v>
      </c>
      <c r="C171" s="40" t="str">
        <f>'[2]Evalution 25'!B161</f>
        <v>Noor Adbdulrahman Rasheed Alrasheed</v>
      </c>
      <c r="D171" s="42">
        <v>44900</v>
      </c>
      <c r="E171" s="40" t="str">
        <f>'[2]Evalution 25'!C161</f>
        <v>Riyadh</v>
      </c>
      <c r="F171" s="40" t="str">
        <f>'[2]Evalution 25'!E161</f>
        <v>Accountant Executive</v>
      </c>
      <c r="G171" s="40" t="str">
        <f>'[2]Evalution 25'!D161</f>
        <v>Finance</v>
      </c>
      <c r="H171" s="40">
        <f>'[2]Evalutaion 23'!G100</f>
        <v>3.8</v>
      </c>
      <c r="I171" s="40">
        <f>'[2]Evalutaion 23'!H100</f>
        <v>3.7</v>
      </c>
      <c r="J171" s="40">
        <f t="shared" si="15"/>
        <v>3.75</v>
      </c>
      <c r="K171" s="40">
        <f>'[2]Evalutaion 24'!G130</f>
        <v>4.3</v>
      </c>
      <c r="L171" s="40">
        <f>'[2]Evalutaion 24'!H130</f>
        <v>3.7</v>
      </c>
      <c r="M171" s="40">
        <f t="shared" si="16"/>
        <v>4</v>
      </c>
      <c r="N171" s="40">
        <f>'[2]Evalution 25'!G161</f>
        <v>3</v>
      </c>
      <c r="O171" s="40">
        <f>'[2]Evalution 25'!H161</f>
        <v>3</v>
      </c>
      <c r="P171" s="40">
        <f t="shared" si="17"/>
        <v>3</v>
      </c>
      <c r="Q171" s="43">
        <f t="shared" si="20"/>
        <v>2.6875</v>
      </c>
      <c r="R171" s="43" t="str">
        <f t="shared" si="18"/>
        <v>Average</v>
      </c>
      <c r="S171" s="45" t="str">
        <f>IFERROR( _xlfn.XLOOKUP(Q171,[2]Result!$A$7:$A$15,[2]Result!$C$7:$C$15,"Out of range",-1),"N/A")</f>
        <v>2B</v>
      </c>
      <c r="T171" s="43">
        <f t="shared" si="14"/>
        <v>3.75</v>
      </c>
      <c r="U171" s="25" t="str" cm="1">
        <f t="array" ref="U171">IF(OR(J171="NA",J171="NR",ISBLANK(J171)),J171,IFERROR(INDEX([2]Result!$C$7:$C$15,MATCH(1,(J171&gt;=[2]Result!$A$7:$A$15)*(J171&lt;=[2]Result!$B$7:$B$15),0)), "NA"))</f>
        <v>3A</v>
      </c>
      <c r="V171" s="25">
        <f t="shared" si="19"/>
        <v>4</v>
      </c>
      <c r="W171" s="25" t="str" cm="1">
        <f t="array" ref="W171">IF(OR(M171="NA",M171="NR",ISBLANK(M171)),M171,IFERROR(INDEX([2]Result!$C$7:$C$15,MATCH(1,(M171&gt;=[2]Result!$A$7:$A$15)*(M171&lt;=[2]Result!$B$7:$B$15),0)), "NA"))</f>
        <v>3A</v>
      </c>
    </row>
    <row r="172" spans="1:23" ht="15.75" x14ac:dyDescent="0.25">
      <c r="A172" s="40">
        <v>161</v>
      </c>
      <c r="B172" s="41">
        <v>10840</v>
      </c>
      <c r="C172" s="40" t="str">
        <f>'[2]Evalution 25'!B162</f>
        <v>Roenelle Flor Villegas</v>
      </c>
      <c r="D172" s="42">
        <v>44276</v>
      </c>
      <c r="E172" s="40" t="str">
        <f>'[2]Evalution 25'!C162</f>
        <v>Dubai</v>
      </c>
      <c r="F172" s="40" t="str">
        <f>'[2]Evalution 25'!E162</f>
        <v>Senior Traffic Executive</v>
      </c>
      <c r="G172" s="40" t="str">
        <f>'[2]Evalution 25'!D162</f>
        <v>Traffic</v>
      </c>
      <c r="H172" s="40">
        <f>'[2]Evalutaion 23'!G101</f>
        <v>2.8</v>
      </c>
      <c r="I172" s="40">
        <f>'[2]Evalutaion 23'!H101</f>
        <v>2.7</v>
      </c>
      <c r="J172" s="40">
        <f t="shared" si="15"/>
        <v>2.75</v>
      </c>
      <c r="K172" s="40">
        <f>'[2]Evalutaion 24'!G131</f>
        <v>3.4</v>
      </c>
      <c r="L172" s="40">
        <f>'[2]Evalutaion 24'!H131</f>
        <v>3.5</v>
      </c>
      <c r="M172" s="40">
        <f t="shared" si="16"/>
        <v>3.45</v>
      </c>
      <c r="N172" s="40">
        <f>'[2]Evalution 25'!G162</f>
        <v>3.6</v>
      </c>
      <c r="O172" s="40">
        <f>'[2]Evalution 25'!H162</f>
        <v>3.5</v>
      </c>
      <c r="P172" s="40">
        <f t="shared" si="17"/>
        <v>3.55</v>
      </c>
      <c r="Q172" s="43">
        <f t="shared" si="20"/>
        <v>2.4375</v>
      </c>
      <c r="R172" s="43" t="str">
        <f t="shared" si="18"/>
        <v>Average</v>
      </c>
      <c r="S172" s="44" t="str">
        <f>IFERROR( _xlfn.XLOOKUP(Q172,[2]Result!$A$7:$A$15,[2]Result!$C$7:$C$15,"Out of range",-1),"N/A")</f>
        <v>2A</v>
      </c>
      <c r="T172" s="43">
        <f t="shared" si="14"/>
        <v>2.75</v>
      </c>
      <c r="U172" s="25" t="str" cm="1">
        <f t="array" ref="U172">IF(OR(J172="NA",J172="NR",ISBLANK(J172)),J172,IFERROR(INDEX([2]Result!$C$7:$C$15,MATCH(1,(J172&gt;=[2]Result!$A$7:$A$15)*(J172&lt;=[2]Result!$B$7:$B$15),0)), "NA"))</f>
        <v>2B</v>
      </c>
      <c r="V172" s="25">
        <f t="shared" si="19"/>
        <v>3.45</v>
      </c>
      <c r="W172" s="25" t="str" cm="1">
        <f t="array" ref="W172">IF(OR(M172="NA",M172="NR",ISBLANK(M172)),M172,IFERROR(INDEX([2]Result!$C$7:$C$15,MATCH(1,(M172&gt;=[2]Result!$A$7:$A$15)*(M172&lt;=[2]Result!$B$7:$B$15),0)), "NA"))</f>
        <v>2C</v>
      </c>
    </row>
    <row r="173" spans="1:23" ht="15.75" x14ac:dyDescent="0.25">
      <c r="A173" s="40">
        <v>162</v>
      </c>
      <c r="B173" s="41">
        <v>31217</v>
      </c>
      <c r="C173" s="40" t="str">
        <f>'[2]Evalution 25'!B163</f>
        <v>Ronald Emile Sawaya</v>
      </c>
      <c r="D173" s="42">
        <v>44202</v>
      </c>
      <c r="E173" s="40" t="str">
        <f>'[2]Evalution 25'!C163</f>
        <v>Riyadh</v>
      </c>
      <c r="F173" s="40" t="str">
        <f>'[2]Evalution 25'!E163</f>
        <v>Client Growth Director</v>
      </c>
      <c r="G173" s="40" t="str">
        <f>'[2]Evalution 25'!D163</f>
        <v>Client Growth</v>
      </c>
      <c r="H173" s="40">
        <f>'[2]Evalutaion 23'!G102</f>
        <v>4</v>
      </c>
      <c r="I173" s="40">
        <f>'[2]Evalutaion 23'!H102</f>
        <v>4</v>
      </c>
      <c r="J173" s="40">
        <f t="shared" si="15"/>
        <v>4</v>
      </c>
      <c r="K173" s="40">
        <f>'[2]Evalutaion 24'!G132</f>
        <v>4.8</v>
      </c>
      <c r="L173" s="40">
        <f>'[2]Evalutaion 24'!H132</f>
        <v>4.7</v>
      </c>
      <c r="M173" s="40">
        <f t="shared" si="16"/>
        <v>4.75</v>
      </c>
      <c r="N173" s="40">
        <f>'[2]Evalution 25'!G163</f>
        <v>4.9000000000000004</v>
      </c>
      <c r="O173" s="40">
        <f>'[2]Evalution 25'!H163</f>
        <v>4.7</v>
      </c>
      <c r="P173" s="40">
        <f t="shared" si="17"/>
        <v>4.8000000000000007</v>
      </c>
      <c r="Q173" s="43">
        <f t="shared" si="20"/>
        <v>3.3875000000000002</v>
      </c>
      <c r="R173" s="43" t="str">
        <f t="shared" si="18"/>
        <v>High</v>
      </c>
      <c r="S173" s="45" t="str">
        <f>IFERROR( _xlfn.XLOOKUP(Q173,[2]Result!$A$7:$A$15,[2]Result!$C$7:$C$15,"Out of range",-1),"N/A")</f>
        <v>2C</v>
      </c>
      <c r="T173" s="43">
        <f t="shared" si="14"/>
        <v>4</v>
      </c>
      <c r="U173" s="25" t="str" cm="1">
        <f t="array" ref="U173">IF(OR(J173="NA",J173="NR",ISBLANK(J173)),J173,IFERROR(INDEX([2]Result!$C$7:$C$15,MATCH(1,(J173&gt;=[2]Result!$A$7:$A$15)*(J173&lt;=[2]Result!$B$7:$B$15),0)), "NA"))</f>
        <v>3A</v>
      </c>
      <c r="V173" s="25">
        <f t="shared" si="19"/>
        <v>4.75</v>
      </c>
      <c r="W173" s="25" t="str" cm="1">
        <f t="array" ref="W173">IF(OR(M173="NA",M173="NR",ISBLANK(M173)),M173,IFERROR(INDEX([2]Result!$C$7:$C$15,MATCH(1,(M173&gt;=[2]Result!$A$7:$A$15)*(M173&lt;=[2]Result!$B$7:$B$15),0)), "NA"))</f>
        <v>3C</v>
      </c>
    </row>
    <row r="174" spans="1:23" ht="15.75" x14ac:dyDescent="0.25">
      <c r="A174" s="40">
        <v>163</v>
      </c>
      <c r="B174" s="41">
        <v>10304</v>
      </c>
      <c r="C174" s="40" t="str">
        <f>'[2]Evalution 25'!B164</f>
        <v xml:space="preserve">Ronalyn  San Juan </v>
      </c>
      <c r="D174" s="42">
        <v>44143</v>
      </c>
      <c r="E174" s="40" t="str">
        <f>'[2]Evalution 25'!C164</f>
        <v>Dubai</v>
      </c>
      <c r="F174" s="40" t="str">
        <f>'[2]Evalution 25'!E164</f>
        <v>Senior Traffic Executive</v>
      </c>
      <c r="G174" s="40" t="str">
        <f>'[2]Evalution 25'!D164</f>
        <v>Traffic</v>
      </c>
      <c r="H174" s="40">
        <f>'[2]Evalutaion 23'!G103</f>
        <v>4.5</v>
      </c>
      <c r="I174" s="40">
        <f>'[2]Evalutaion 23'!H103</f>
        <v>4.7</v>
      </c>
      <c r="J174" s="40">
        <f t="shared" si="15"/>
        <v>4.5999999999999996</v>
      </c>
      <c r="K174" s="40">
        <f>'[2]Evalutaion 24'!G133</f>
        <v>4</v>
      </c>
      <c r="L174" s="40">
        <f>'[2]Evalutaion 24'!H133</f>
        <v>4</v>
      </c>
      <c r="M174" s="40">
        <f t="shared" si="16"/>
        <v>4</v>
      </c>
      <c r="N174" s="40">
        <f>'[2]Evalution 25'!G164</f>
        <v>3.9</v>
      </c>
      <c r="O174" s="40">
        <f>'[2]Evalution 25'!H164</f>
        <v>3.7</v>
      </c>
      <c r="P174" s="40">
        <f t="shared" si="17"/>
        <v>3.8</v>
      </c>
      <c r="Q174" s="43">
        <f t="shared" si="20"/>
        <v>3.0999999999999996</v>
      </c>
      <c r="R174" s="43" t="str">
        <f t="shared" si="18"/>
        <v>High</v>
      </c>
      <c r="S174" s="44" t="str">
        <f>IFERROR( _xlfn.XLOOKUP(Q174,[2]Result!$A$7:$A$15,[2]Result!$C$7:$C$15,"Out of range",-1),"N/A")</f>
        <v>2B</v>
      </c>
      <c r="T174" s="43">
        <f t="shared" si="14"/>
        <v>4.5999999999999996</v>
      </c>
      <c r="U174" s="25" t="str" cm="1">
        <f t="array" ref="U174">IF(OR(J174="NA",J174="NR",ISBLANK(J174)),J174,IFERROR(INDEX([2]Result!$C$7:$C$15,MATCH(1,(J174&gt;=[2]Result!$A$7:$A$15)*(J174&lt;=[2]Result!$B$7:$B$15),0)), "NA"))</f>
        <v>3C</v>
      </c>
      <c r="V174" s="25">
        <f t="shared" si="19"/>
        <v>4</v>
      </c>
      <c r="W174" s="25" t="str" cm="1">
        <f t="array" ref="W174">IF(OR(M174="NA",M174="NR",ISBLANK(M174)),M174,IFERROR(INDEX([2]Result!$C$7:$C$15,MATCH(1,(M174&gt;=[2]Result!$A$7:$A$15)*(M174&lt;=[2]Result!$B$7:$B$15),0)), "NA"))</f>
        <v>3A</v>
      </c>
    </row>
    <row r="175" spans="1:23" ht="15.75" x14ac:dyDescent="0.25">
      <c r="A175" s="40">
        <v>164</v>
      </c>
      <c r="B175" s="41">
        <v>10838</v>
      </c>
      <c r="C175" s="40" t="str">
        <f>'[2]Evalution 25'!B165</f>
        <v>Samy Abdel Sabour Mohamed Ahmed</v>
      </c>
      <c r="D175" s="42">
        <v>44262</v>
      </c>
      <c r="E175" s="40" t="str">
        <f>'[2]Evalution 25'!C165</f>
        <v>Cairo</v>
      </c>
      <c r="F175" s="40" t="str">
        <f>'[2]Evalution 25'!E165</f>
        <v>Collection Officer</v>
      </c>
      <c r="G175" s="40" t="str">
        <f>'[2]Evalution 25'!D165</f>
        <v>Finance</v>
      </c>
      <c r="H175" s="40">
        <f>'[2]Evalutaion 23'!G104</f>
        <v>4</v>
      </c>
      <c r="I175" s="40">
        <f>'[2]Evalutaion 23'!H104</f>
        <v>4</v>
      </c>
      <c r="J175" s="40">
        <f t="shared" si="15"/>
        <v>4</v>
      </c>
      <c r="K175" s="40">
        <f>'[2]Evalutaion 24'!G134</f>
        <v>4.4000000000000004</v>
      </c>
      <c r="L175" s="40">
        <f>'[2]Evalutaion 24'!H134</f>
        <v>4.8</v>
      </c>
      <c r="M175" s="40">
        <f t="shared" si="16"/>
        <v>4.5999999999999996</v>
      </c>
      <c r="N175" s="40">
        <f>'[2]Evalution 25'!G165</f>
        <v>3</v>
      </c>
      <c r="O175" s="40">
        <f>'[2]Evalution 25'!H165</f>
        <v>3</v>
      </c>
      <c r="P175" s="40">
        <f t="shared" si="17"/>
        <v>3</v>
      </c>
      <c r="Q175" s="43">
        <f t="shared" si="20"/>
        <v>2.9</v>
      </c>
      <c r="R175" s="43" t="str">
        <f t="shared" si="18"/>
        <v>Average</v>
      </c>
      <c r="S175" s="44" t="str">
        <f>IFERROR( _xlfn.XLOOKUP(Q175,[2]Result!$A$7:$A$15,[2]Result!$C$7:$C$15,"Out of range",-1),"N/A")</f>
        <v>2B</v>
      </c>
      <c r="T175" s="43">
        <f t="shared" si="14"/>
        <v>4</v>
      </c>
      <c r="U175" s="25" t="str" cm="1">
        <f t="array" ref="U175">IF(OR(J175="NA",J175="NR",ISBLANK(J175)),J175,IFERROR(INDEX([2]Result!$C$7:$C$15,MATCH(1,(J175&gt;=[2]Result!$A$7:$A$15)*(J175&lt;=[2]Result!$B$7:$B$15),0)), "NA"))</f>
        <v>3A</v>
      </c>
      <c r="V175" s="25">
        <f t="shared" si="19"/>
        <v>4.5999999999999996</v>
      </c>
      <c r="W175" s="25" t="str" cm="1">
        <f t="array" ref="W175">IF(OR(M175="NA",M175="NR",ISBLANK(M175)),M175,IFERROR(INDEX([2]Result!$C$7:$C$15,MATCH(1,(M175&gt;=[2]Result!$A$7:$A$15)*(M175&lt;=[2]Result!$B$7:$B$15),0)), "NA"))</f>
        <v>3C</v>
      </c>
    </row>
    <row r="176" spans="1:23" ht="15.75" x14ac:dyDescent="0.25">
      <c r="A176" s="40">
        <v>165</v>
      </c>
      <c r="B176" s="41">
        <v>48805</v>
      </c>
      <c r="C176" s="40" t="str">
        <f>'[2]Evalution 25'!B166</f>
        <v>Salma Zakareya abdelazim Ahmed Ali</v>
      </c>
      <c r="D176" s="42">
        <v>45352</v>
      </c>
      <c r="E176" s="40" t="str">
        <f>'[2]Evalution 25'!C166</f>
        <v>Cairo</v>
      </c>
      <c r="F176" s="40" t="str">
        <f>'[2]Evalution 25'!E166</f>
        <v>Sales Supervisor</v>
      </c>
      <c r="G176" s="40" t="str">
        <f>'[2]Evalution 25'!D166</f>
        <v>Agency Partnerships</v>
      </c>
      <c r="H176" s="40" t="s">
        <v>554</v>
      </c>
      <c r="I176" s="40" t="s">
        <v>554</v>
      </c>
      <c r="J176" s="40" t="str">
        <f t="shared" si="15"/>
        <v>NA</v>
      </c>
      <c r="K176" s="40">
        <f>'[2]Evalutaion 24'!G135</f>
        <v>4.3</v>
      </c>
      <c r="L176" s="40">
        <f>'[2]Evalutaion 24'!H135</f>
        <v>4.7</v>
      </c>
      <c r="M176" s="40">
        <f t="shared" si="16"/>
        <v>4.5</v>
      </c>
      <c r="N176" s="40">
        <f>'[2]Evalution 25'!G166</f>
        <v>4.4000000000000004</v>
      </c>
      <c r="O176" s="40">
        <f>'[2]Evalution 25'!H166</f>
        <v>4.8</v>
      </c>
      <c r="P176" s="40">
        <f t="shared" si="17"/>
        <v>4.5999999999999996</v>
      </c>
      <c r="Q176" s="43">
        <f t="shared" si="20"/>
        <v>3.0333333333333332</v>
      </c>
      <c r="R176" s="43" t="str">
        <f t="shared" si="18"/>
        <v>High</v>
      </c>
      <c r="S176" s="44" t="str">
        <f>IFERROR( _xlfn.XLOOKUP(Q176,[2]Result!$A$7:$A$15,[2]Result!$C$7:$C$15,"Out of range",-1),"N/A")</f>
        <v>2B</v>
      </c>
      <c r="T176" s="43" t="str">
        <f t="shared" si="14"/>
        <v>NA</v>
      </c>
      <c r="U176" s="25" t="str" cm="1">
        <f t="array" ref="U176">IF(OR(J176="NA",J176="NR",ISBLANK(J176)),J176,IFERROR(INDEX([2]Result!$C$7:$C$15,MATCH(1,(J176&gt;=[2]Result!$A$7:$A$15)*(J176&lt;=[2]Result!$B$7:$B$15),0)), "NA"))</f>
        <v>NA</v>
      </c>
      <c r="V176" s="25">
        <f t="shared" si="19"/>
        <v>4.5</v>
      </c>
      <c r="W176" s="25" t="str" cm="1">
        <f t="array" ref="W176">IF(OR(M176="NA",M176="NR",ISBLANK(M176)),M176,IFERROR(INDEX([2]Result!$C$7:$C$15,MATCH(1,(M176&gt;=[2]Result!$A$7:$A$15)*(M176&lt;=[2]Result!$B$7:$B$15),0)), "NA"))</f>
        <v>3B</v>
      </c>
    </row>
    <row r="177" spans="1:23" ht="15.75" x14ac:dyDescent="0.25">
      <c r="A177" s="40">
        <v>166</v>
      </c>
      <c r="B177" s="41">
        <v>10511</v>
      </c>
      <c r="C177" s="40" t="str">
        <f>'[2]Evalution 25'!B167</f>
        <v>Salman Iqbal Mansoori</v>
      </c>
      <c r="D177" s="42">
        <v>43934</v>
      </c>
      <c r="E177" s="40" t="str">
        <f>'[2]Evalution 25'!C167</f>
        <v>Dubai</v>
      </c>
      <c r="F177" s="40" t="str">
        <f>'[2]Evalution 25'!E167</f>
        <v>Supervisor Traffic Executive - Digital</v>
      </c>
      <c r="G177" s="40" t="str">
        <f>'[2]Evalution 25'!D167</f>
        <v>Traffic</v>
      </c>
      <c r="H177" s="40">
        <f>'[2]Evalutaion 23'!G105</f>
        <v>5</v>
      </c>
      <c r="I177" s="40">
        <f>'[2]Evalutaion 23'!H105</f>
        <v>5</v>
      </c>
      <c r="J177" s="40">
        <f t="shared" si="15"/>
        <v>5</v>
      </c>
      <c r="K177" s="40">
        <f>'[2]Evalutaion 24'!G136</f>
        <v>4.8</v>
      </c>
      <c r="L177" s="40">
        <f>'[2]Evalutaion 24'!H136</f>
        <v>4.7</v>
      </c>
      <c r="M177" s="40">
        <f t="shared" si="16"/>
        <v>4.75</v>
      </c>
      <c r="N177" s="40">
        <f>'[2]Evalution 25'!G167</f>
        <v>5</v>
      </c>
      <c r="O177" s="40">
        <f>'[2]Evalution 25'!H167</f>
        <v>4.8</v>
      </c>
      <c r="P177" s="40">
        <f t="shared" si="17"/>
        <v>4.9000000000000004</v>
      </c>
      <c r="Q177" s="43">
        <f t="shared" si="20"/>
        <v>3.6625000000000001</v>
      </c>
      <c r="R177" s="43" t="str">
        <f t="shared" si="18"/>
        <v>High</v>
      </c>
      <c r="S177" s="46" t="str">
        <f>IFERROR( _xlfn.XLOOKUP(Q177,[2]Result!$A$7:$A$15,[2]Result!$C$7:$C$15,"Out of range",-1),"N/A")</f>
        <v>3A</v>
      </c>
      <c r="T177" s="43">
        <f t="shared" si="14"/>
        <v>5</v>
      </c>
      <c r="U177" s="25" t="str" cm="1">
        <f t="array" ref="U177">IF(OR(J177="NA",J177="NR",ISBLANK(J177)),J177,IFERROR(INDEX([2]Result!$C$7:$C$15,MATCH(1,(J177&gt;=[2]Result!$A$7:$A$15)*(J177&lt;=[2]Result!$B$7:$B$15),0)), "NA"))</f>
        <v>3C</v>
      </c>
      <c r="V177" s="25">
        <f t="shared" si="19"/>
        <v>4.75</v>
      </c>
      <c r="W177" s="25" t="str" cm="1">
        <f t="array" ref="W177">IF(OR(M177="NA",M177="NR",ISBLANK(M177)),M177,IFERROR(INDEX([2]Result!$C$7:$C$15,MATCH(1,(M177&gt;=[2]Result!$A$7:$A$15)*(M177&lt;=[2]Result!$B$7:$B$15),0)), "NA"))</f>
        <v>3C</v>
      </c>
    </row>
    <row r="178" spans="1:23" ht="15.75" x14ac:dyDescent="0.25">
      <c r="A178" s="40">
        <v>167</v>
      </c>
      <c r="B178" s="41">
        <v>10116</v>
      </c>
      <c r="C178" s="40" t="str">
        <f>'[2]Evalution 25'!B168</f>
        <v xml:space="preserve">Samantha Rose  Coutinho </v>
      </c>
      <c r="D178" s="42">
        <v>44118</v>
      </c>
      <c r="E178" s="40" t="str">
        <f>'[2]Evalution 25'!C168</f>
        <v>Dubai</v>
      </c>
      <c r="F178" s="40" t="str">
        <f>'[2]Evalution 25'!E168</f>
        <v>Office Manager</v>
      </c>
      <c r="G178" s="40" t="str">
        <f>'[2]Evalution 25'!D168</f>
        <v>Admin</v>
      </c>
      <c r="H178" s="40">
        <f>'[2]Evalutaion 23'!G106</f>
        <v>4.8</v>
      </c>
      <c r="I178" s="40">
        <f>'[2]Evalutaion 23'!H106</f>
        <v>4.7</v>
      </c>
      <c r="J178" s="40">
        <f t="shared" si="15"/>
        <v>4.75</v>
      </c>
      <c r="K178" s="40">
        <f>'[2]Evalutaion 24'!G137</f>
        <v>3.5</v>
      </c>
      <c r="L178" s="40">
        <f>'[2]Evalutaion 24'!H137</f>
        <v>4.3</v>
      </c>
      <c r="M178" s="40">
        <f t="shared" si="16"/>
        <v>3.9</v>
      </c>
      <c r="N178" s="40">
        <f>'[2]Evalution 25'!G168</f>
        <v>4.5</v>
      </c>
      <c r="O178" s="40">
        <f>'[2]Evalution 25'!H168</f>
        <v>4.2</v>
      </c>
      <c r="P178" s="40">
        <f t="shared" si="17"/>
        <v>4.3499999999999996</v>
      </c>
      <c r="Q178" s="43">
        <f t="shared" si="20"/>
        <v>3.25</v>
      </c>
      <c r="R178" s="43" t="str">
        <f t="shared" si="18"/>
        <v>High</v>
      </c>
      <c r="S178" s="44" t="str">
        <f>IFERROR( _xlfn.XLOOKUP(Q178,[2]Result!$A$7:$A$15,[2]Result!$C$7:$C$15,"Out of range",-1),"N/A")</f>
        <v>2C</v>
      </c>
      <c r="T178" s="43">
        <f t="shared" si="14"/>
        <v>4.75</v>
      </c>
      <c r="U178" s="25" t="str" cm="1">
        <f t="array" ref="U178">IF(OR(J178="NA",J178="NR",ISBLANK(J178)),J178,IFERROR(INDEX([2]Result!$C$7:$C$15,MATCH(1,(J178&gt;=[2]Result!$A$7:$A$15)*(J178&lt;=[2]Result!$B$7:$B$15),0)), "NA"))</f>
        <v>3C</v>
      </c>
      <c r="V178" s="25">
        <f t="shared" si="19"/>
        <v>3.9</v>
      </c>
      <c r="W178" s="25" t="str" cm="1">
        <f t="array" ref="W178">IF(OR(M178="NA",M178="NR",ISBLANK(M178)),M178,IFERROR(INDEX([2]Result!$C$7:$C$15,MATCH(1,(M178&gt;=[2]Result!$A$7:$A$15)*(M178&lt;=[2]Result!$B$7:$B$15),0)), "NA"))</f>
        <v>3A</v>
      </c>
    </row>
    <row r="179" spans="1:23" ht="15.75" x14ac:dyDescent="0.25">
      <c r="A179" s="40">
        <v>168</v>
      </c>
      <c r="B179" s="41">
        <v>6588</v>
      </c>
      <c r="C179" s="40" t="str">
        <f>'[2]Evalution 25'!B169</f>
        <v>Norah Abdullah Hamdan Alhamdan</v>
      </c>
      <c r="D179" s="42">
        <v>44325</v>
      </c>
      <c r="E179" s="40" t="str">
        <f>'[2]Evalution 25'!C169</f>
        <v>Riyadh</v>
      </c>
      <c r="F179" s="40" t="str">
        <f>'[2]Evalution 25'!E169</f>
        <v>Assistant Treasury Accountant</v>
      </c>
      <c r="G179" s="40" t="str">
        <f>'[2]Evalution 25'!D169</f>
        <v>Finance</v>
      </c>
      <c r="H179" s="40">
        <f>'[2]Evalutaion 23'!G107</f>
        <v>0</v>
      </c>
      <c r="I179" s="40">
        <f>'[2]Evalutaion 23'!H107</f>
        <v>3</v>
      </c>
      <c r="J179" s="40">
        <f t="shared" si="15"/>
        <v>1.5</v>
      </c>
      <c r="K179" s="40">
        <f>'[2]Evalutaion 24'!G138</f>
        <v>3</v>
      </c>
      <c r="L179" s="40">
        <f>'[2]Evalutaion 24'!H138</f>
        <v>3</v>
      </c>
      <c r="M179" s="40">
        <f t="shared" si="16"/>
        <v>3</v>
      </c>
      <c r="N179" s="40">
        <f>'[2]Evalution 25'!G169</f>
        <v>0</v>
      </c>
      <c r="O179" s="40">
        <f>'[2]Evalution 25'!H169</f>
        <v>3.5</v>
      </c>
      <c r="P179" s="40">
        <f t="shared" si="17"/>
        <v>1.75</v>
      </c>
      <c r="Q179" s="43">
        <f t="shared" si="20"/>
        <v>1.5625</v>
      </c>
      <c r="R179" s="43" t="str">
        <f t="shared" si="18"/>
        <v>Poor</v>
      </c>
      <c r="S179" s="48" t="str">
        <f>IFERROR( _xlfn.XLOOKUP(Q179,[2]Result!$A$7:$A$15,[2]Result!$C$7:$C$15,"Out of range",-1),"N/A")</f>
        <v>1B</v>
      </c>
      <c r="T179" s="43">
        <f t="shared" si="14"/>
        <v>1.5</v>
      </c>
      <c r="U179" s="25" t="str" cm="1">
        <f t="array" ref="U179">IF(OR(J179="NA",J179="NR",ISBLANK(J179)),J179,IFERROR(INDEX([2]Result!$C$7:$C$15,MATCH(1,(J179&gt;=[2]Result!$A$7:$A$15)*(J179&lt;=[2]Result!$B$7:$B$15),0)), "NA"))</f>
        <v>1B</v>
      </c>
      <c r="V179" s="25">
        <f t="shared" si="19"/>
        <v>3</v>
      </c>
      <c r="W179" s="25" t="str" cm="1">
        <f t="array" ref="W179">IF(OR(M179="NA",M179="NR",ISBLANK(M179)),M179,IFERROR(INDEX([2]Result!$C$7:$C$15,MATCH(1,(M179&gt;=[2]Result!$A$7:$A$15)*(M179&lt;=[2]Result!$B$7:$B$15),0)), "NA"))</f>
        <v>2B</v>
      </c>
    </row>
    <row r="180" spans="1:23" ht="15.75" x14ac:dyDescent="0.25">
      <c r="A180" s="40">
        <v>169</v>
      </c>
      <c r="B180" s="41">
        <v>10319</v>
      </c>
      <c r="C180" s="40" t="str">
        <f>'[2]Evalution 25'!B170</f>
        <v xml:space="preserve">Sarah Nammour </v>
      </c>
      <c r="D180" s="42">
        <v>44199</v>
      </c>
      <c r="E180" s="40" t="str">
        <f>'[2]Evalution 25'!C170</f>
        <v>Dubai</v>
      </c>
      <c r="F180" s="40" t="str">
        <f>'[2]Evalution 25'!E170</f>
        <v>Client Growth Senior Manager</v>
      </c>
      <c r="G180" s="40" t="str">
        <f>'[2]Evalution 25'!D170</f>
        <v>Client Growth</v>
      </c>
      <c r="H180" s="40">
        <f>'[2]Evalutaion 23'!G108</f>
        <v>4</v>
      </c>
      <c r="I180" s="40">
        <f>'[2]Evalutaion 23'!H108</f>
        <v>4</v>
      </c>
      <c r="J180" s="40">
        <f t="shared" si="15"/>
        <v>4</v>
      </c>
      <c r="K180" s="40">
        <f>'[2]Evalutaion 24'!G139</f>
        <v>4</v>
      </c>
      <c r="L180" s="40">
        <f>'[2]Evalutaion 24'!H139</f>
        <v>4.7</v>
      </c>
      <c r="M180" s="40">
        <f t="shared" si="16"/>
        <v>4.3499999999999996</v>
      </c>
      <c r="N180" s="40">
        <f>'[2]Evalution 25'!G170</f>
        <v>0</v>
      </c>
      <c r="O180" s="40">
        <f>'[2]Evalution 25'!H170</f>
        <v>0</v>
      </c>
      <c r="P180" s="40">
        <f t="shared" si="17"/>
        <v>0</v>
      </c>
      <c r="Q180" s="43">
        <f t="shared" si="20"/>
        <v>2.0874999999999999</v>
      </c>
      <c r="R180" s="43" t="str">
        <f t="shared" si="18"/>
        <v>Poor</v>
      </c>
      <c r="S180" s="45" t="str">
        <f>IFERROR( _xlfn.XLOOKUP(Q180,[2]Result!$A$7:$A$15,[2]Result!$C$7:$C$15,"Out of range",-1),"N/A")</f>
        <v>1C</v>
      </c>
      <c r="T180" s="43">
        <f t="shared" si="14"/>
        <v>4</v>
      </c>
      <c r="U180" s="25" t="str" cm="1">
        <f t="array" ref="U180">IF(OR(J180="NA",J180="NR",ISBLANK(J180)),J180,IFERROR(INDEX([2]Result!$C$7:$C$15,MATCH(1,(J180&gt;=[2]Result!$A$7:$A$15)*(J180&lt;=[2]Result!$B$7:$B$15),0)), "NA"))</f>
        <v>3A</v>
      </c>
      <c r="V180" s="25">
        <f t="shared" si="19"/>
        <v>4.3499999999999996</v>
      </c>
      <c r="W180" s="25" t="str" cm="1">
        <f t="array" ref="W180">IF(OR(M180="NA",M180="NR",ISBLANK(M180)),M180,IFERROR(INDEX([2]Result!$C$7:$C$15,MATCH(1,(M180&gt;=[2]Result!$A$7:$A$15)*(M180&lt;=[2]Result!$B$7:$B$15),0)), "NA"))</f>
        <v>3B</v>
      </c>
    </row>
    <row r="181" spans="1:23" ht="15.75" x14ac:dyDescent="0.25">
      <c r="A181" s="40">
        <v>170</v>
      </c>
      <c r="B181" s="41">
        <v>50823</v>
      </c>
      <c r="C181" s="40" t="str">
        <f>'[2]Evalution 25'!B171</f>
        <v>Shaden Abdullah Abdullatif Alobaid</v>
      </c>
      <c r="D181" s="42">
        <v>45901</v>
      </c>
      <c r="E181" s="40" t="str">
        <f>'[2]Evalution 25'!C171</f>
        <v>Riyadh</v>
      </c>
      <c r="F181" s="40" t="str">
        <f>'[2]Evalution 25'!E171</f>
        <v>HR Executive</v>
      </c>
      <c r="G181" s="40" t="str">
        <f>'[2]Evalution 25'!D171</f>
        <v>HR</v>
      </c>
      <c r="H181" s="40" t="s">
        <v>554</v>
      </c>
      <c r="I181" s="40" t="s">
        <v>554</v>
      </c>
      <c r="J181" s="40" t="str">
        <f t="shared" si="15"/>
        <v>NA</v>
      </c>
      <c r="K181" s="40" t="s">
        <v>554</v>
      </c>
      <c r="L181" s="40" t="s">
        <v>554</v>
      </c>
      <c r="M181" s="40" t="str">
        <f t="shared" si="16"/>
        <v>NA</v>
      </c>
      <c r="N181" s="40">
        <f>'[2]Evalution 25'!G171</f>
        <v>3.4</v>
      </c>
      <c r="O181" s="40">
        <f>'[2]Evalution 25'!H171</f>
        <v>3.3</v>
      </c>
      <c r="P181" s="40">
        <f t="shared" si="17"/>
        <v>3.3499999999999996</v>
      </c>
      <c r="Q181" s="43">
        <f t="shared" si="20"/>
        <v>1.6749999999999998</v>
      </c>
      <c r="R181" s="43" t="str">
        <f t="shared" si="18"/>
        <v>Average</v>
      </c>
      <c r="S181" s="44" t="str">
        <f>IFERROR( _xlfn.XLOOKUP(Q181,[2]Result!$A$7:$A$15,[2]Result!$C$7:$C$15,"Out of range",-1),"N/A")</f>
        <v>1C</v>
      </c>
      <c r="T181" s="43" t="str">
        <f t="shared" ref="T181:T197" si="21">IF($D181&gt;DATE(2023,12,31),"NA",IF(J181="","NR",J181))</f>
        <v>NA</v>
      </c>
      <c r="U181" s="25" t="str" cm="1">
        <f t="array" ref="U181">IF(OR(J181="NA",J181="NR",ISBLANK(J181)),J181,IFERROR(INDEX([2]Result!$C$7:$C$15,MATCH(1,(J181&gt;=[2]Result!$A$7:$A$15)*(J181&lt;=[2]Result!$B$7:$B$15),0)), "NA"))</f>
        <v>NA</v>
      </c>
      <c r="V181" s="25" t="str">
        <f t="shared" si="19"/>
        <v>NA</v>
      </c>
      <c r="W181" s="25" t="str" cm="1">
        <f t="array" ref="W181">IF(OR(M181="NA",M181="NR",ISBLANK(M181)),M181,IFERROR(INDEX([2]Result!$C$7:$C$15,MATCH(1,(M181&gt;=[2]Result!$A$7:$A$15)*(M181&lt;=[2]Result!$B$7:$B$15),0)), "NA"))</f>
        <v>NA</v>
      </c>
    </row>
    <row r="182" spans="1:23" ht="15.75" x14ac:dyDescent="0.25">
      <c r="A182" s="40">
        <v>171</v>
      </c>
      <c r="B182" s="41">
        <v>50170</v>
      </c>
      <c r="C182" s="40" t="str">
        <f>'[2]Evalution 25'!B172</f>
        <v>Shahad Sultan Saad Alruzayq</v>
      </c>
      <c r="D182" s="42">
        <v>45706</v>
      </c>
      <c r="E182" s="40" t="str">
        <f>'[2]Evalution 25'!C172</f>
        <v>Riyadh</v>
      </c>
      <c r="F182" s="40" t="str">
        <f>'[2]Evalution 25'!E172</f>
        <v>PMO Senior Manager</v>
      </c>
      <c r="G182" s="40" t="str">
        <f>'[2]Evalution 25'!D172</f>
        <v>Executive - CEO Office</v>
      </c>
      <c r="H182" s="40" t="s">
        <v>554</v>
      </c>
      <c r="I182" s="40" t="s">
        <v>554</v>
      </c>
      <c r="J182" s="40" t="str">
        <f t="shared" si="15"/>
        <v>NA</v>
      </c>
      <c r="K182" s="40" t="s">
        <v>554</v>
      </c>
      <c r="L182" s="40" t="s">
        <v>554</v>
      </c>
      <c r="M182" s="40" t="str">
        <f t="shared" si="16"/>
        <v>NA</v>
      </c>
      <c r="N182" s="40">
        <f>'[2]Evalution 25'!G172</f>
        <v>5</v>
      </c>
      <c r="O182" s="40">
        <f>'[2]Evalution 25'!H172</f>
        <v>5</v>
      </c>
      <c r="P182" s="40">
        <f t="shared" si="17"/>
        <v>5</v>
      </c>
      <c r="Q182" s="43">
        <f t="shared" si="20"/>
        <v>2.5</v>
      </c>
      <c r="R182" s="43" t="str">
        <f t="shared" si="18"/>
        <v>High</v>
      </c>
      <c r="S182" s="47" t="str">
        <f>IFERROR( _xlfn.XLOOKUP(Q182,[2]Result!$A$7:$A$15,[2]Result!$C$7:$C$15,"Out of range",-1),"N/A")</f>
        <v>2A</v>
      </c>
      <c r="T182" s="43" t="str">
        <f t="shared" si="21"/>
        <v>NA</v>
      </c>
      <c r="U182" s="25" t="str" cm="1">
        <f t="array" ref="U182">IF(OR(J182="NA",J182="NR",ISBLANK(J182)),J182,IFERROR(INDEX([2]Result!$C$7:$C$15,MATCH(1,(J182&gt;=[2]Result!$A$7:$A$15)*(J182&lt;=[2]Result!$B$7:$B$15),0)), "NA"))</f>
        <v>NA</v>
      </c>
      <c r="V182" s="25" t="str">
        <f t="shared" si="19"/>
        <v>NA</v>
      </c>
      <c r="W182" s="25" t="str" cm="1">
        <f t="array" ref="W182">IF(OR(M182="NA",M182="NR",ISBLANK(M182)),M182,IFERROR(INDEX([2]Result!$C$7:$C$15,MATCH(1,(M182&gt;=[2]Result!$A$7:$A$15)*(M182&lt;=[2]Result!$B$7:$B$15),0)), "NA"))</f>
        <v>NA</v>
      </c>
    </row>
    <row r="183" spans="1:23" ht="15.75" x14ac:dyDescent="0.25">
      <c r="A183" s="40">
        <v>172</v>
      </c>
      <c r="B183" s="41">
        <v>50175</v>
      </c>
      <c r="C183" s="40" t="str">
        <f>'[2]Evalution 25'!B173</f>
        <v>Sheemah Sultan Hammad Alharthi</v>
      </c>
      <c r="D183" s="42">
        <v>45676</v>
      </c>
      <c r="E183" s="40" t="str">
        <f>'[2]Evalution 25'!C173</f>
        <v>Riyadh</v>
      </c>
      <c r="F183" s="40" t="str">
        <f>'[2]Evalution 25'!E173</f>
        <v>Integrated Planning Executive</v>
      </c>
      <c r="G183" s="40" t="str">
        <f>'[2]Evalution 25'!D173</f>
        <v>Research</v>
      </c>
      <c r="H183" s="40" t="s">
        <v>554</v>
      </c>
      <c r="I183" s="40" t="s">
        <v>554</v>
      </c>
      <c r="J183" s="40" t="str">
        <f t="shared" si="15"/>
        <v>NA</v>
      </c>
      <c r="K183" s="40" t="s">
        <v>554</v>
      </c>
      <c r="L183" s="40" t="s">
        <v>554</v>
      </c>
      <c r="M183" s="40" t="str">
        <f t="shared" si="16"/>
        <v>NA</v>
      </c>
      <c r="N183" s="40">
        <f>'[2]Evalution 25'!G173</f>
        <v>4</v>
      </c>
      <c r="O183" s="40">
        <f>'[2]Evalution 25'!H173</f>
        <v>4</v>
      </c>
      <c r="P183" s="40">
        <f t="shared" si="17"/>
        <v>4</v>
      </c>
      <c r="Q183" s="43">
        <f t="shared" si="20"/>
        <v>2</v>
      </c>
      <c r="R183" s="43" t="str">
        <f t="shared" si="18"/>
        <v>High</v>
      </c>
      <c r="S183" s="45" t="str">
        <f>IFERROR( _xlfn.XLOOKUP(Q183,[2]Result!$A$7:$A$15,[2]Result!$C$7:$C$15,"Out of range",-1),"N/A")</f>
        <v>1C</v>
      </c>
      <c r="T183" s="43" t="str">
        <f t="shared" si="21"/>
        <v>NA</v>
      </c>
      <c r="U183" s="25" t="str" cm="1">
        <f t="array" ref="U183">IF(OR(J183="NA",J183="NR",ISBLANK(J183)),J183,IFERROR(INDEX([2]Result!$C$7:$C$15,MATCH(1,(J183&gt;=[2]Result!$A$7:$A$15)*(J183&lt;=[2]Result!$B$7:$B$15),0)), "NA"))</f>
        <v>NA</v>
      </c>
      <c r="V183" s="25" t="str">
        <f t="shared" si="19"/>
        <v>NA</v>
      </c>
      <c r="W183" s="25" t="str" cm="1">
        <f t="array" ref="W183">IF(OR(M183="NA",M183="NR",ISBLANK(M183)),M183,IFERROR(INDEX([2]Result!$C$7:$C$15,MATCH(1,(M183&gt;=[2]Result!$A$7:$A$15)*(M183&lt;=[2]Result!$B$7:$B$15),0)), "NA"))</f>
        <v>NA</v>
      </c>
    </row>
    <row r="184" spans="1:23" ht="15.75" x14ac:dyDescent="0.25">
      <c r="A184" s="40">
        <v>173</v>
      </c>
      <c r="B184" s="41">
        <v>10860</v>
      </c>
      <c r="C184" s="40" t="str">
        <f>'[2]Evalution 25'!B174</f>
        <v>Shefali Hareshbhai Lakhani</v>
      </c>
      <c r="D184" s="42">
        <v>44550</v>
      </c>
      <c r="E184" s="40" t="str">
        <f>'[2]Evalution 25'!C174</f>
        <v>Dubai</v>
      </c>
      <c r="F184" s="40" t="str">
        <f>'[2]Evalution 25'!E174</f>
        <v>ERP Fusion Financial Managing Consultant</v>
      </c>
      <c r="G184" s="40" t="str">
        <f>'[2]Evalution 25'!D174</f>
        <v>Tech Ops - ERP</v>
      </c>
      <c r="H184" s="40">
        <f>'[2]Evalutaion 23'!G109</f>
        <v>4.5</v>
      </c>
      <c r="I184" s="40">
        <f>'[2]Evalutaion 23'!H109</f>
        <v>4.3</v>
      </c>
      <c r="J184" s="40">
        <f t="shared" si="15"/>
        <v>4.4000000000000004</v>
      </c>
      <c r="K184" s="40" t="s">
        <v>554</v>
      </c>
      <c r="L184" s="40" t="s">
        <v>554</v>
      </c>
      <c r="M184" s="40" t="str">
        <f t="shared" si="16"/>
        <v>NR</v>
      </c>
      <c r="N184" s="40">
        <f>'[2]Evalution 25'!G174</f>
        <v>0</v>
      </c>
      <c r="O184" s="40">
        <f>'[2]Evalution 25'!H174</f>
        <v>0</v>
      </c>
      <c r="P184" s="40">
        <f t="shared" si="17"/>
        <v>0</v>
      </c>
      <c r="Q184" s="43">
        <f t="shared" si="20"/>
        <v>1.4666666666666668</v>
      </c>
      <c r="R184" s="43" t="str">
        <f t="shared" si="18"/>
        <v>Poor</v>
      </c>
      <c r="S184" s="48" t="str">
        <f>IFERROR( _xlfn.XLOOKUP(Q184,[2]Result!$A$7:$A$15,[2]Result!$C$7:$C$15,"Out of range",-1),"N/A")</f>
        <v>1B</v>
      </c>
      <c r="T184" s="43">
        <f t="shared" si="21"/>
        <v>4.4000000000000004</v>
      </c>
      <c r="U184" s="25" t="str" cm="1">
        <f t="array" ref="U184">IF(OR(J184="NA",J184="NR",ISBLANK(J184)),J184,IFERROR(INDEX([2]Result!$C$7:$C$15,MATCH(1,(J184&gt;=[2]Result!$A$7:$A$15)*(J184&lt;=[2]Result!$B$7:$B$15),0)), "NA"))</f>
        <v>3B</v>
      </c>
      <c r="V184" s="25" t="str">
        <f t="shared" si="19"/>
        <v>NR</v>
      </c>
      <c r="W184" s="25" t="str" cm="1">
        <f t="array" ref="W184">IF(OR(M184="NA",M184="NR",ISBLANK(M184)),M184,IFERROR(INDEX([2]Result!$C$7:$C$15,MATCH(1,(M184&gt;=[2]Result!$A$7:$A$15)*(M184&lt;=[2]Result!$B$7:$B$15),0)), "NA"))</f>
        <v>NR</v>
      </c>
    </row>
    <row r="185" spans="1:23" ht="15.75" x14ac:dyDescent="0.25">
      <c r="A185" s="40">
        <v>174</v>
      </c>
      <c r="B185" s="41">
        <v>31430</v>
      </c>
      <c r="C185" s="40" t="str">
        <f>'[2]Evalution 25'!B175</f>
        <v>Sherif Khalid Hassan Samak</v>
      </c>
      <c r="D185" s="42">
        <v>44662</v>
      </c>
      <c r="E185" s="40" t="str">
        <f>'[2]Evalution 25'!C175</f>
        <v>Riyadh</v>
      </c>
      <c r="F185" s="40" t="str">
        <f>'[2]Evalution 25'!E175</f>
        <v>Integrated Planning Manager</v>
      </c>
      <c r="G185" s="40" t="str">
        <f>'[2]Evalution 25'!D175</f>
        <v>Research</v>
      </c>
      <c r="H185" s="40">
        <f>'[2]Evalutaion 23'!G110</f>
        <v>4.8</v>
      </c>
      <c r="I185" s="40">
        <f>'[2]Evalutaion 23'!H110</f>
        <v>4.8</v>
      </c>
      <c r="J185" s="40">
        <f t="shared" si="15"/>
        <v>4.8</v>
      </c>
      <c r="K185" s="40">
        <f>'[2]Evalutaion 24'!G141</f>
        <v>5</v>
      </c>
      <c r="L185" s="40">
        <f>'[2]Evalutaion 24'!H141</f>
        <v>5</v>
      </c>
      <c r="M185" s="40">
        <f t="shared" si="16"/>
        <v>5</v>
      </c>
      <c r="N185" s="40">
        <f>'[2]Evalution 25'!G175</f>
        <v>4.9000000000000004</v>
      </c>
      <c r="O185" s="40">
        <f>'[2]Evalution 25'!H175</f>
        <v>4.7</v>
      </c>
      <c r="P185" s="40">
        <f t="shared" si="17"/>
        <v>4.8000000000000007</v>
      </c>
      <c r="Q185" s="43">
        <f t="shared" si="20"/>
        <v>3.6500000000000004</v>
      </c>
      <c r="R185" s="43" t="str">
        <f t="shared" si="18"/>
        <v>High</v>
      </c>
      <c r="S185" s="46" t="str">
        <f>IFERROR( _xlfn.XLOOKUP(Q185,[2]Result!$A$7:$A$15,[2]Result!$C$7:$C$15,"Out of range",-1),"N/A")</f>
        <v>3A</v>
      </c>
      <c r="T185" s="43">
        <f t="shared" si="21"/>
        <v>4.8</v>
      </c>
      <c r="U185" s="25" t="str" cm="1">
        <f t="array" ref="U185">IF(OR(J185="NA",J185="NR",ISBLANK(J185)),J185,IFERROR(INDEX([2]Result!$C$7:$C$15,MATCH(1,(J185&gt;=[2]Result!$A$7:$A$15)*(J185&lt;=[2]Result!$B$7:$B$15),0)), "NA"))</f>
        <v>3C</v>
      </c>
      <c r="V185" s="25">
        <f t="shared" si="19"/>
        <v>5</v>
      </c>
      <c r="W185" s="25" t="str" cm="1">
        <f t="array" ref="W185">IF(OR(M185="NA",M185="NR",ISBLANK(M185)),M185,IFERROR(INDEX([2]Result!$C$7:$C$15,MATCH(1,(M185&gt;=[2]Result!$A$7:$A$15)*(M185&lt;=[2]Result!$B$7:$B$15),0)), "NA"))</f>
        <v>3C</v>
      </c>
    </row>
    <row r="186" spans="1:23" ht="15.75" x14ac:dyDescent="0.25">
      <c r="A186" s="40">
        <v>175</v>
      </c>
      <c r="B186" s="41">
        <v>47406</v>
      </c>
      <c r="C186" s="40" t="str">
        <f>'[2]Evalution 25'!B176</f>
        <v>Stephanie Trinidad Gumpal</v>
      </c>
      <c r="D186" s="42">
        <v>44986</v>
      </c>
      <c r="E186" s="40" t="str">
        <f>'[2]Evalution 25'!C176</f>
        <v>Dubai</v>
      </c>
      <c r="F186" s="40" t="str">
        <f>'[2]Evalution 25'!E176</f>
        <v>Senior Traffic Operations</v>
      </c>
      <c r="G186" s="40" t="str">
        <f>'[2]Evalution 25'!D176</f>
        <v>Traffic</v>
      </c>
      <c r="H186" s="40">
        <f>'[2]Evalutaion 23'!G111</f>
        <v>3.5</v>
      </c>
      <c r="I186" s="40">
        <f>'[2]Evalutaion 23'!H111</f>
        <v>3.7</v>
      </c>
      <c r="J186" s="40">
        <f t="shared" si="15"/>
        <v>3.6</v>
      </c>
      <c r="K186" s="40">
        <f>'[2]Evalutaion 24'!G142</f>
        <v>4</v>
      </c>
      <c r="L186" s="40">
        <f>'[2]Evalutaion 24'!H142</f>
        <v>4</v>
      </c>
      <c r="M186" s="40">
        <f t="shared" si="16"/>
        <v>4</v>
      </c>
      <c r="N186" s="40">
        <f>'[2]Evalution 25'!G176</f>
        <v>4.4000000000000004</v>
      </c>
      <c r="O186" s="40">
        <f>'[2]Evalution 25'!H176</f>
        <v>4</v>
      </c>
      <c r="P186" s="40">
        <f t="shared" si="17"/>
        <v>4.2</v>
      </c>
      <c r="Q186" s="43">
        <f t="shared" si="20"/>
        <v>2.95</v>
      </c>
      <c r="R186" s="43" t="str">
        <f t="shared" si="18"/>
        <v>High</v>
      </c>
      <c r="S186" s="45" t="str">
        <f>IFERROR( _xlfn.XLOOKUP(Q186,[2]Result!$A$7:$A$15,[2]Result!$C$7:$C$15,"Out of range",-1),"N/A")</f>
        <v>2B</v>
      </c>
      <c r="T186" s="43">
        <f t="shared" si="21"/>
        <v>3.6</v>
      </c>
      <c r="U186" s="25" t="str" cm="1">
        <f t="array" ref="U186">IF(OR(J186="NA",J186="NR",ISBLANK(J186)),J186,IFERROR(INDEX([2]Result!$C$7:$C$15,MATCH(1,(J186&gt;=[2]Result!$A$7:$A$15)*(J186&lt;=[2]Result!$B$7:$B$15),0)), "NA"))</f>
        <v>3A</v>
      </c>
      <c r="V186" s="25">
        <f t="shared" si="19"/>
        <v>4</v>
      </c>
      <c r="W186" s="25" t="str" cm="1">
        <f t="array" ref="W186">IF(OR(M186="NA",M186="NR",ISBLANK(M186)),M186,IFERROR(INDEX([2]Result!$C$7:$C$15,MATCH(1,(M186&gt;=[2]Result!$A$7:$A$15)*(M186&lt;=[2]Result!$B$7:$B$15),0)), "NA"))</f>
        <v>3A</v>
      </c>
    </row>
    <row r="187" spans="1:23" ht="15.75" x14ac:dyDescent="0.25">
      <c r="A187" s="40">
        <v>176</v>
      </c>
      <c r="B187" s="41">
        <v>47994</v>
      </c>
      <c r="C187" s="40" t="str">
        <f>'[2]Evalution 25'!B177</f>
        <v>Sultan Faisal Biary</v>
      </c>
      <c r="D187" s="42">
        <v>45158</v>
      </c>
      <c r="E187" s="40" t="str">
        <f>'[2]Evalution 25'!C177</f>
        <v>Riyadh</v>
      </c>
      <c r="F187" s="40" t="str">
        <f>'[2]Evalution 25'!E177</f>
        <v>Client Growth Senior Manager</v>
      </c>
      <c r="G187" s="40" t="str">
        <f>'[2]Evalution 25'!D177</f>
        <v>Client Growth</v>
      </c>
      <c r="H187" s="40">
        <f>'[2]Evalutaion 23'!G112</f>
        <v>4</v>
      </c>
      <c r="I187" s="40">
        <f>'[2]Evalutaion 23'!H112</f>
        <v>4.5</v>
      </c>
      <c r="J187" s="40">
        <f t="shared" si="15"/>
        <v>4.25</v>
      </c>
      <c r="K187" s="40">
        <f>'[2]Evalutaion 24'!G143</f>
        <v>5</v>
      </c>
      <c r="L187" s="40">
        <f>'[2]Evalutaion 24'!H143</f>
        <v>5</v>
      </c>
      <c r="M187" s="40">
        <f t="shared" si="16"/>
        <v>5</v>
      </c>
      <c r="N187" s="40">
        <f>'[2]Evalution 25'!G177</f>
        <v>4.8</v>
      </c>
      <c r="O187" s="40">
        <f>'[2]Evalution 25'!H177</f>
        <v>5</v>
      </c>
      <c r="P187" s="40">
        <f t="shared" si="17"/>
        <v>4.9000000000000004</v>
      </c>
      <c r="Q187" s="43">
        <f t="shared" si="20"/>
        <v>3.5375000000000001</v>
      </c>
      <c r="R187" s="43" t="str">
        <f t="shared" si="18"/>
        <v>High</v>
      </c>
      <c r="S187" s="45" t="str">
        <f>IFERROR( _xlfn.XLOOKUP(Q187,[2]Result!$A$7:$A$15,[2]Result!$C$7:$C$15,"Out of range",-1),"N/A")</f>
        <v>2C</v>
      </c>
      <c r="T187" s="43">
        <f t="shared" si="21"/>
        <v>4.25</v>
      </c>
      <c r="U187" s="25" t="str" cm="1">
        <f t="array" ref="U187">IF(OR(J187="NA",J187="NR",ISBLANK(J187)),J187,IFERROR(INDEX([2]Result!$C$7:$C$15,MATCH(1,(J187&gt;=[2]Result!$A$7:$A$15)*(J187&lt;=[2]Result!$B$7:$B$15),0)), "NA"))</f>
        <v>3B</v>
      </c>
      <c r="V187" s="25">
        <f t="shared" si="19"/>
        <v>5</v>
      </c>
      <c r="W187" s="25" t="str" cm="1">
        <f t="array" ref="W187">IF(OR(M187="NA",M187="NR",ISBLANK(M187)),M187,IFERROR(INDEX([2]Result!$C$7:$C$15,MATCH(1,(M187&gt;=[2]Result!$A$7:$A$15)*(M187&lt;=[2]Result!$B$7:$B$15),0)), "NA"))</f>
        <v>3C</v>
      </c>
    </row>
    <row r="188" spans="1:23" ht="15.75" x14ac:dyDescent="0.25">
      <c r="A188" s="40">
        <v>177</v>
      </c>
      <c r="B188" s="41">
        <v>6548</v>
      </c>
      <c r="C188" s="40" t="str">
        <f>'[2]Evalution 25'!B178</f>
        <v>Tarek Mohamed Lotfy Adel Eldeeb</v>
      </c>
      <c r="D188" s="42">
        <v>44180</v>
      </c>
      <c r="E188" s="40" t="str">
        <f>'[2]Evalution 25'!C178</f>
        <v>Cairo</v>
      </c>
      <c r="F188" s="40" t="str">
        <f>'[2]Evalution 25'!E178</f>
        <v>Traffic Manager</v>
      </c>
      <c r="G188" s="40" t="str">
        <f>'[2]Evalution 25'!D178</f>
        <v>Traffic</v>
      </c>
      <c r="H188" s="40">
        <f>'[2]Evalutaion 23'!G113</f>
        <v>3.7</v>
      </c>
      <c r="I188" s="40">
        <f>'[2]Evalutaion 23'!H113</f>
        <v>4.3</v>
      </c>
      <c r="J188" s="40">
        <f t="shared" si="15"/>
        <v>4</v>
      </c>
      <c r="K188" s="40">
        <f>'[2]Evalutaion 24'!G144</f>
        <v>3.7</v>
      </c>
      <c r="L188" s="40">
        <f>'[2]Evalutaion 24'!H144</f>
        <v>3.7</v>
      </c>
      <c r="M188" s="40">
        <f t="shared" si="16"/>
        <v>3.7</v>
      </c>
      <c r="N188" s="40">
        <f>'[2]Evalution 25'!G178</f>
        <v>4.2</v>
      </c>
      <c r="O188" s="40">
        <f>'[2]Evalution 25'!H178</f>
        <v>3.7</v>
      </c>
      <c r="P188" s="40">
        <f t="shared" si="17"/>
        <v>3.95</v>
      </c>
      <c r="Q188" s="43">
        <f t="shared" si="20"/>
        <v>2.9125000000000001</v>
      </c>
      <c r="R188" s="43" t="str">
        <f t="shared" si="18"/>
        <v>High</v>
      </c>
      <c r="S188" s="45" t="str">
        <f>IFERROR( _xlfn.XLOOKUP(Q188,[2]Result!$A$7:$A$15,[2]Result!$C$7:$C$15,"Out of range",-1),"N/A")</f>
        <v>2B</v>
      </c>
      <c r="T188" s="43">
        <f t="shared" si="21"/>
        <v>4</v>
      </c>
      <c r="U188" s="25" t="str" cm="1">
        <f t="array" ref="U188">IF(OR(J188="NA",J188="NR",ISBLANK(J188)),J188,IFERROR(INDEX([2]Result!$C$7:$C$15,MATCH(1,(J188&gt;=[2]Result!$A$7:$A$15)*(J188&lt;=[2]Result!$B$7:$B$15),0)), "NA"))</f>
        <v>3A</v>
      </c>
      <c r="V188" s="25">
        <f t="shared" si="19"/>
        <v>3.7</v>
      </c>
      <c r="W188" s="25" t="str" cm="1">
        <f t="array" ref="W188">IF(OR(M188="NA",M188="NR",ISBLANK(M188)),M188,IFERROR(INDEX([2]Result!$C$7:$C$15,MATCH(1,(M188&gt;=[2]Result!$A$7:$A$15)*(M188&lt;=[2]Result!$B$7:$B$15),0)), "NA"))</f>
        <v>3A</v>
      </c>
    </row>
    <row r="189" spans="1:23" ht="15.75" x14ac:dyDescent="0.25">
      <c r="A189" s="40">
        <v>178</v>
      </c>
      <c r="B189" s="41">
        <v>6587</v>
      </c>
      <c r="C189" s="40" t="str">
        <f>'[2]Evalution 25'!B179</f>
        <v>Tarik Mohamed Youssif Badawy Shakweir</v>
      </c>
      <c r="D189" s="42">
        <v>44334</v>
      </c>
      <c r="E189" s="40" t="str">
        <f>'[2]Evalution 25'!C179</f>
        <v>Dubai</v>
      </c>
      <c r="F189" s="40" t="str">
        <f>'[2]Evalution 25'!E179</f>
        <v>Senior Traffic Executive - Digital</v>
      </c>
      <c r="G189" s="40" t="str">
        <f>'[2]Evalution 25'!D179</f>
        <v>Traffic</v>
      </c>
      <c r="H189" s="40">
        <f>'[2]Evalutaion 23'!G114</f>
        <v>4</v>
      </c>
      <c r="I189" s="40">
        <f>'[2]Evalutaion 23'!H114</f>
        <v>4</v>
      </c>
      <c r="J189" s="40">
        <f t="shared" si="15"/>
        <v>4</v>
      </c>
      <c r="K189" s="40">
        <f>'[2]Evalutaion 24'!G145</f>
        <v>3.5</v>
      </c>
      <c r="L189" s="40">
        <f>'[2]Evalutaion 24'!H145</f>
        <v>2.8</v>
      </c>
      <c r="M189" s="40">
        <f t="shared" si="16"/>
        <v>3.15</v>
      </c>
      <c r="N189" s="40">
        <f>'[2]Evalution 25'!G179</f>
        <v>4.5</v>
      </c>
      <c r="O189" s="40">
        <f>'[2]Evalution 25'!H179</f>
        <v>4.2</v>
      </c>
      <c r="P189" s="40">
        <f t="shared" si="17"/>
        <v>4.3499999999999996</v>
      </c>
      <c r="Q189" s="43">
        <f t="shared" si="20"/>
        <v>2.875</v>
      </c>
      <c r="R189" s="43" t="str">
        <f t="shared" si="18"/>
        <v>High</v>
      </c>
      <c r="S189" s="45" t="str">
        <f>IFERROR( _xlfn.XLOOKUP(Q189,[2]Result!$A$7:$A$15,[2]Result!$C$7:$C$15,"Out of range",-1),"N/A")</f>
        <v>2B</v>
      </c>
      <c r="T189" s="43">
        <f t="shared" si="21"/>
        <v>4</v>
      </c>
      <c r="U189" s="25" t="str" cm="1">
        <f t="array" ref="U189">IF(OR(J189="NA",J189="NR",ISBLANK(J189)),J189,IFERROR(INDEX([2]Result!$C$7:$C$15,MATCH(1,(J189&gt;=[2]Result!$A$7:$A$15)*(J189&lt;=[2]Result!$B$7:$B$15),0)), "NA"))</f>
        <v>3A</v>
      </c>
      <c r="V189" s="25">
        <f t="shared" si="19"/>
        <v>3.15</v>
      </c>
      <c r="W189" s="25" t="str" cm="1">
        <f t="array" ref="W189">IF(OR(M189="NA",M189="NR",ISBLANK(M189)),M189,IFERROR(INDEX([2]Result!$C$7:$C$15,MATCH(1,(M189&gt;=[2]Result!$A$7:$A$15)*(M189&lt;=[2]Result!$B$7:$B$15),0)), "NA"))</f>
        <v>2C</v>
      </c>
    </row>
    <row r="190" spans="1:23" ht="15.75" x14ac:dyDescent="0.25">
      <c r="A190" s="40">
        <v>179</v>
      </c>
      <c r="B190" s="41">
        <v>10830</v>
      </c>
      <c r="C190" s="40" t="str">
        <f>'[2]Evalution 25'!B180</f>
        <v>Wafa  Osama  Methqal Abdeldayem</v>
      </c>
      <c r="D190" s="42">
        <v>44206</v>
      </c>
      <c r="E190" s="40" t="str">
        <f>'[2]Evalution 25'!C180</f>
        <v>Dubai</v>
      </c>
      <c r="F190" s="40" t="str">
        <f>'[2]Evalution 25'!E180</f>
        <v>Integrated Planning Senior Executive</v>
      </c>
      <c r="G190" s="40" t="str">
        <f>'[2]Evalution 25'!D180</f>
        <v>Research</v>
      </c>
      <c r="H190" s="40">
        <f>'[2]Evalutaion 23'!G115</f>
        <v>4.9000000000000004</v>
      </c>
      <c r="I190" s="40">
        <f>'[2]Evalutaion 23'!H115</f>
        <v>4.5</v>
      </c>
      <c r="J190" s="40">
        <f t="shared" si="15"/>
        <v>4.7</v>
      </c>
      <c r="K190" s="40">
        <f>'[2]Evalutaion 24'!G146</f>
        <v>5</v>
      </c>
      <c r="L190" s="40">
        <f>'[2]Evalutaion 24'!H146</f>
        <v>5</v>
      </c>
      <c r="M190" s="40">
        <f t="shared" si="16"/>
        <v>5</v>
      </c>
      <c r="N190" s="40">
        <f>'[2]Evalution 25'!G180</f>
        <v>4.5999999999999996</v>
      </c>
      <c r="O190" s="40">
        <f>'[2]Evalution 25'!H180</f>
        <v>5</v>
      </c>
      <c r="P190" s="40">
        <f t="shared" si="17"/>
        <v>4.8</v>
      </c>
      <c r="Q190" s="43">
        <f t="shared" si="20"/>
        <v>3.625</v>
      </c>
      <c r="R190" s="43" t="str">
        <f t="shared" si="18"/>
        <v>High</v>
      </c>
      <c r="S190" s="46" t="str">
        <f>IFERROR( _xlfn.XLOOKUP(Q190,[2]Result!$A$7:$A$15,[2]Result!$C$7:$C$15,"Out of range",-1),"N/A")</f>
        <v>3A</v>
      </c>
      <c r="T190" s="43">
        <f t="shared" si="21"/>
        <v>4.7</v>
      </c>
      <c r="U190" s="25" t="str" cm="1">
        <f t="array" ref="U190">IF(OR(J190="NA",J190="NR",ISBLANK(J190)),J190,IFERROR(INDEX([2]Result!$C$7:$C$15,MATCH(1,(J190&gt;=[2]Result!$A$7:$A$15)*(J190&lt;=[2]Result!$B$7:$B$15),0)), "NA"))</f>
        <v>3C</v>
      </c>
      <c r="V190" s="25">
        <f t="shared" si="19"/>
        <v>5</v>
      </c>
      <c r="W190" s="25" t="str" cm="1">
        <f t="array" ref="W190">IF(OR(M190="NA",M190="NR",ISBLANK(M190)),M190,IFERROR(INDEX([2]Result!$C$7:$C$15,MATCH(1,(M190&gt;=[2]Result!$A$7:$A$15)*(M190&lt;=[2]Result!$B$7:$B$15),0)), "NA"))</f>
        <v>3C</v>
      </c>
    </row>
    <row r="191" spans="1:23" ht="15.75" x14ac:dyDescent="0.25">
      <c r="A191" s="40">
        <v>180</v>
      </c>
      <c r="B191" s="41">
        <v>31249</v>
      </c>
      <c r="C191" s="40" t="str">
        <f>'[2]Evalution 25'!B181</f>
        <v>Waheeb Mohammed Ibrahim Al Shammari</v>
      </c>
      <c r="D191" s="42">
        <v>44317</v>
      </c>
      <c r="E191" s="40" t="str">
        <f>'[2]Evalution 25'!C181</f>
        <v>Riyadh</v>
      </c>
      <c r="F191" s="40" t="str">
        <f>'[2]Evalution 25'!E181</f>
        <v>Public Relation Manager</v>
      </c>
      <c r="G191" s="40" t="str">
        <f>'[2]Evalution 25'!D181</f>
        <v>Marketing</v>
      </c>
      <c r="H191" s="40">
        <f>'[2]Evalutaion 23'!G116</f>
        <v>4.3</v>
      </c>
      <c r="I191" s="40">
        <f>'[2]Evalutaion 23'!H116</f>
        <v>4.5</v>
      </c>
      <c r="J191" s="40">
        <f t="shared" si="15"/>
        <v>4.4000000000000004</v>
      </c>
      <c r="K191" s="40">
        <f>'[2]Evalutaion 24'!G147</f>
        <v>3.2</v>
      </c>
      <c r="L191" s="40">
        <f>'[2]Evalutaion 24'!H147</f>
        <v>4</v>
      </c>
      <c r="M191" s="40">
        <f t="shared" si="16"/>
        <v>3.6</v>
      </c>
      <c r="N191" s="40">
        <f>'[2]Evalution 25'!G181</f>
        <v>3.3</v>
      </c>
      <c r="O191" s="40">
        <f>'[2]Evalution 25'!H181</f>
        <v>3</v>
      </c>
      <c r="P191" s="40">
        <f t="shared" si="17"/>
        <v>3.15</v>
      </c>
      <c r="Q191" s="43">
        <f t="shared" si="20"/>
        <v>2.7875000000000001</v>
      </c>
      <c r="R191" s="43" t="str">
        <f t="shared" si="18"/>
        <v>Average</v>
      </c>
      <c r="S191" s="45" t="str">
        <f>IFERROR( _xlfn.XLOOKUP(Q191,[2]Result!$A$7:$A$15,[2]Result!$C$7:$C$15,"Out of range",-1),"N/A")</f>
        <v>2B</v>
      </c>
      <c r="T191" s="43">
        <f t="shared" si="21"/>
        <v>4.4000000000000004</v>
      </c>
      <c r="U191" s="25" t="str" cm="1">
        <f t="array" ref="U191">IF(OR(J191="NA",J191="NR",ISBLANK(J191)),J191,IFERROR(INDEX([2]Result!$C$7:$C$15,MATCH(1,(J191&gt;=[2]Result!$A$7:$A$15)*(J191&lt;=[2]Result!$B$7:$B$15),0)), "NA"))</f>
        <v>3B</v>
      </c>
      <c r="V191" s="25">
        <f t="shared" si="19"/>
        <v>3.6</v>
      </c>
      <c r="W191" s="25" t="str" cm="1">
        <f t="array" ref="W191">IF(OR(M191="NA",M191="NR",ISBLANK(M191)),M191,IFERROR(INDEX([2]Result!$C$7:$C$15,MATCH(1,(M191&gt;=[2]Result!$A$7:$A$15)*(M191&lt;=[2]Result!$B$7:$B$15),0)), "NA"))</f>
        <v>3A</v>
      </c>
    </row>
    <row r="192" spans="1:23" ht="15.75" x14ac:dyDescent="0.25">
      <c r="A192" s="40">
        <v>181</v>
      </c>
      <c r="B192" s="41">
        <v>6545</v>
      </c>
      <c r="C192" s="40" t="str">
        <f>'[2]Evalution 25'!B182</f>
        <v>Waleed Elsaied Elessawey Ahmed</v>
      </c>
      <c r="D192" s="42">
        <v>44136</v>
      </c>
      <c r="E192" s="40" t="str">
        <f>'[2]Evalution 25'!C182</f>
        <v>Cairo</v>
      </c>
      <c r="F192" s="40" t="str">
        <f>'[2]Evalution 25'!E182</f>
        <v>Managing Director</v>
      </c>
      <c r="G192" s="40" t="str">
        <f>'[2]Evalution 25'!D182</f>
        <v>Executive</v>
      </c>
      <c r="H192" s="40" t="s">
        <v>554</v>
      </c>
      <c r="I192" s="40" t="s">
        <v>554</v>
      </c>
      <c r="J192" s="40" t="str">
        <f t="shared" si="15"/>
        <v>NR</v>
      </c>
      <c r="K192" s="40" t="s">
        <v>554</v>
      </c>
      <c r="L192" s="40" t="s">
        <v>554</v>
      </c>
      <c r="M192" s="40" t="str">
        <f t="shared" si="16"/>
        <v>NR</v>
      </c>
      <c r="N192" s="40" t="s">
        <v>554</v>
      </c>
      <c r="O192" s="40" t="s">
        <v>554</v>
      </c>
      <c r="P192" s="40" t="str">
        <f t="shared" si="17"/>
        <v>NR</v>
      </c>
      <c r="Q192" s="43">
        <f t="shared" si="20"/>
        <v>0</v>
      </c>
      <c r="R192" s="43" t="str">
        <f t="shared" si="18"/>
        <v>NA</v>
      </c>
      <c r="S192" s="40" t="str">
        <f>IFERROR( _xlfn.XLOOKUP(Q192,[2]Result!$A$7:$A$15,[2]Result!$C$7:$C$15,"Out of range",-1),"N/A")</f>
        <v>1A</v>
      </c>
      <c r="T192" s="43" t="str">
        <f t="shared" si="21"/>
        <v>NR</v>
      </c>
      <c r="U192" s="25" t="str" cm="1">
        <f t="array" ref="U192">IF(OR(J192="NA",J192="NR",ISBLANK(J192)),J192,IFERROR(INDEX([2]Result!$C$7:$C$15,MATCH(1,(J192&gt;=[2]Result!$A$7:$A$15)*(J192&lt;=[2]Result!$B$7:$B$15),0)), "NA"))</f>
        <v>NR</v>
      </c>
      <c r="V192" s="25" t="str">
        <f t="shared" si="19"/>
        <v>NR</v>
      </c>
      <c r="W192" s="25" t="str" cm="1">
        <f t="array" ref="W192">IF(OR(M192="NA",M192="NR",ISBLANK(M192)),M192,IFERROR(INDEX([2]Result!$C$7:$C$15,MATCH(1,(M192&gt;=[2]Result!$A$7:$A$15)*(M192&lt;=[2]Result!$B$7:$B$15),0)), "NA"))</f>
        <v>NR</v>
      </c>
    </row>
    <row r="193" spans="1:23" ht="15.75" x14ac:dyDescent="0.25">
      <c r="A193" s="40">
        <v>182</v>
      </c>
      <c r="B193" s="41">
        <v>47527</v>
      </c>
      <c r="C193" s="40" t="str">
        <f>'[2]Evalution 25'!B183</f>
        <v>Yokesh Srinivasan</v>
      </c>
      <c r="D193" s="42">
        <v>45019</v>
      </c>
      <c r="E193" s="40" t="str">
        <f>'[2]Evalution 25'!C183</f>
        <v>Dubai</v>
      </c>
      <c r="F193" s="40" t="str">
        <f>'[2]Evalution 25'!E183</f>
        <v>Senior Traffic Executive - Digital</v>
      </c>
      <c r="G193" s="40" t="str">
        <f>'[2]Evalution 25'!D183</f>
        <v>Traffic</v>
      </c>
      <c r="H193" s="40">
        <f>'[2]Evalutaion 23'!G117</f>
        <v>4.2</v>
      </c>
      <c r="I193" s="40">
        <f>'[2]Evalutaion 23'!H117</f>
        <v>4.3</v>
      </c>
      <c r="J193" s="40">
        <f t="shared" si="15"/>
        <v>4.25</v>
      </c>
      <c r="K193" s="40">
        <f>'[2]Evalutaion 24'!G148</f>
        <v>4</v>
      </c>
      <c r="L193" s="40">
        <f>'[2]Evalutaion 24'!H148</f>
        <v>4</v>
      </c>
      <c r="M193" s="40">
        <f t="shared" si="16"/>
        <v>4</v>
      </c>
      <c r="N193" s="40">
        <f>'[2]Evalution 25'!G183</f>
        <v>4.8</v>
      </c>
      <c r="O193" s="40">
        <f>'[2]Evalution 25'!H183</f>
        <v>4.7</v>
      </c>
      <c r="P193" s="40">
        <f t="shared" si="17"/>
        <v>4.75</v>
      </c>
      <c r="Q193" s="43">
        <f t="shared" si="20"/>
        <v>3.25</v>
      </c>
      <c r="R193" s="43" t="str">
        <f t="shared" si="18"/>
        <v>High</v>
      </c>
      <c r="S193" s="44" t="str">
        <f>IFERROR( _xlfn.XLOOKUP(Q193,[2]Result!$A$7:$A$15,[2]Result!$C$7:$C$15,"Out of range",-1),"N/A")</f>
        <v>2C</v>
      </c>
      <c r="T193" s="43">
        <f t="shared" si="21"/>
        <v>4.25</v>
      </c>
      <c r="U193" s="25" t="str" cm="1">
        <f t="array" ref="U193">IF(OR(J193="NA",J193="NR",ISBLANK(J193)),J193,IFERROR(INDEX([2]Result!$C$7:$C$15,MATCH(1,(J193&gt;=[2]Result!$A$7:$A$15)*(J193&lt;=[2]Result!$B$7:$B$15),0)), "NA"))</f>
        <v>3B</v>
      </c>
      <c r="V193" s="25">
        <f t="shared" si="19"/>
        <v>4</v>
      </c>
      <c r="W193" s="25" t="str" cm="1">
        <f t="array" ref="W193">IF(OR(M193="NA",M193="NR",ISBLANK(M193)),M193,IFERROR(INDEX([2]Result!$C$7:$C$15,MATCH(1,(M193&gt;=[2]Result!$A$7:$A$15)*(M193&lt;=[2]Result!$B$7:$B$15),0)), "NA"))</f>
        <v>3A</v>
      </c>
    </row>
    <row r="194" spans="1:23" ht="15.75" x14ac:dyDescent="0.25">
      <c r="A194" s="40">
        <v>183</v>
      </c>
      <c r="B194" s="41">
        <v>47725</v>
      </c>
      <c r="C194" s="40" t="str">
        <f>'[2]Evalution 25'!B184</f>
        <v>Youmna Malek Chehab</v>
      </c>
      <c r="D194" s="42">
        <v>45173</v>
      </c>
      <c r="E194" s="40" t="str">
        <f>'[2]Evalution 25'!C184</f>
        <v>Dubai</v>
      </c>
      <c r="F194" s="40" t="str">
        <f>'[2]Evalution 25'!E184</f>
        <v>Digital Commercial Manager</v>
      </c>
      <c r="G194" s="40" t="str">
        <f>'[2]Evalution 25'!D184</f>
        <v>Digital Social Media</v>
      </c>
      <c r="H194" s="40">
        <f>'[2]Evalutaion 23'!G118</f>
        <v>0</v>
      </c>
      <c r="I194" s="40">
        <f>'[2]Evalutaion 23'!H118</f>
        <v>3.5</v>
      </c>
      <c r="J194" s="40">
        <f t="shared" si="15"/>
        <v>1.75</v>
      </c>
      <c r="K194" s="40">
        <f>'[2]Evalutaion 24'!G149</f>
        <v>4</v>
      </c>
      <c r="L194" s="40">
        <f>'[2]Evalutaion 24'!H149</f>
        <v>4</v>
      </c>
      <c r="M194" s="40">
        <f t="shared" si="16"/>
        <v>4</v>
      </c>
      <c r="N194" s="40">
        <f>'[2]Evalution 25'!G184</f>
        <v>4</v>
      </c>
      <c r="O194" s="40">
        <f>'[2]Evalution 25'!H184</f>
        <v>3.8</v>
      </c>
      <c r="P194" s="40">
        <f t="shared" si="17"/>
        <v>3.9</v>
      </c>
      <c r="Q194" s="43">
        <f t="shared" si="20"/>
        <v>2.4125000000000001</v>
      </c>
      <c r="R194" s="43" t="str">
        <f t="shared" si="18"/>
        <v>High</v>
      </c>
      <c r="S194" s="44" t="str">
        <f>IFERROR( _xlfn.XLOOKUP(Q194,[2]Result!$A$7:$A$15,[2]Result!$C$7:$C$15,"Out of range",-1),"N/A")</f>
        <v>2A</v>
      </c>
      <c r="T194" s="43">
        <f t="shared" si="21"/>
        <v>1.75</v>
      </c>
      <c r="U194" s="25" t="str" cm="1">
        <f t="array" ref="U194">IF(OR(J194="NA",J194="NR",ISBLANK(J194)),J194,IFERROR(INDEX([2]Result!$C$7:$C$15,MATCH(1,(J194&gt;=[2]Result!$A$7:$A$15)*(J194&lt;=[2]Result!$B$7:$B$15),0)), "NA"))</f>
        <v>1C</v>
      </c>
      <c r="V194" s="25">
        <f t="shared" si="19"/>
        <v>4</v>
      </c>
      <c r="W194" s="25" t="str" cm="1">
        <f t="array" ref="W194">IF(OR(M194="NA",M194="NR",ISBLANK(M194)),M194,IFERROR(INDEX([2]Result!$C$7:$C$15,MATCH(1,(M194&gt;=[2]Result!$A$7:$A$15)*(M194&lt;=[2]Result!$B$7:$B$15),0)), "NA"))</f>
        <v>3A</v>
      </c>
    </row>
    <row r="195" spans="1:23" ht="15.75" x14ac:dyDescent="0.25">
      <c r="A195" s="40">
        <v>184</v>
      </c>
      <c r="B195" s="41">
        <v>6553</v>
      </c>
      <c r="C195" s="40" t="str">
        <f>'[2]Evalution 25'!B185</f>
        <v>Yousra Saeed Ahmed Farahat</v>
      </c>
      <c r="D195" s="42">
        <v>44197</v>
      </c>
      <c r="E195" s="40" t="str">
        <f>'[2]Evalution 25'!C185</f>
        <v>Cairo</v>
      </c>
      <c r="F195" s="40" t="str">
        <f>'[2]Evalution 25'!E185</f>
        <v>Associate Client Service Manager</v>
      </c>
      <c r="G195" s="40" t="str">
        <f>'[2]Evalution 25'!D185</f>
        <v>Agency Partnerships</v>
      </c>
      <c r="H195" s="40">
        <f>'[2]Evalutaion 23'!G119</f>
        <v>4.3</v>
      </c>
      <c r="I195" s="40">
        <f>'[2]Evalutaion 23'!H119</f>
        <v>4</v>
      </c>
      <c r="J195" s="40">
        <f t="shared" si="15"/>
        <v>4.1500000000000004</v>
      </c>
      <c r="K195" s="40">
        <f>'[2]Evalutaion 24'!G150</f>
        <v>4.3</v>
      </c>
      <c r="L195" s="40">
        <f>'[2]Evalutaion 24'!H150</f>
        <v>4.3</v>
      </c>
      <c r="M195" s="40">
        <f t="shared" si="16"/>
        <v>4.3</v>
      </c>
      <c r="N195" s="40">
        <f>'[2]Evalution 25'!G185</f>
        <v>4.5</v>
      </c>
      <c r="O195" s="40">
        <f>'[2]Evalution 25'!H185</f>
        <v>4</v>
      </c>
      <c r="P195" s="40">
        <f t="shared" si="17"/>
        <v>4.25</v>
      </c>
      <c r="Q195" s="43">
        <f t="shared" si="20"/>
        <v>3.1749999999999998</v>
      </c>
      <c r="R195" s="43" t="str">
        <f t="shared" si="18"/>
        <v>High</v>
      </c>
      <c r="S195" s="44" t="str">
        <f>IFERROR( _xlfn.XLOOKUP(Q195,[2]Result!$A$7:$A$15,[2]Result!$C$7:$C$15,"Out of range",-1),"N/A")</f>
        <v>2C</v>
      </c>
      <c r="T195" s="43">
        <f t="shared" si="21"/>
        <v>4.1500000000000004</v>
      </c>
      <c r="U195" s="25" t="str" cm="1">
        <f t="array" ref="U195">IF(OR(J195="NA",J195="NR",ISBLANK(J195)),J195,IFERROR(INDEX([2]Result!$C$7:$C$15,MATCH(1,(J195&gt;=[2]Result!$A$7:$A$15)*(J195&lt;=[2]Result!$B$7:$B$15),0)), "NA"))</f>
        <v>3B</v>
      </c>
      <c r="V195" s="25">
        <f t="shared" si="19"/>
        <v>4.3</v>
      </c>
      <c r="W195" s="25" t="str" cm="1">
        <f t="array" ref="W195">IF(OR(M195="NA",M195="NR",ISBLANK(M195)),M195,IFERROR(INDEX([2]Result!$C$7:$C$15,MATCH(1,(M195&gt;=[2]Result!$A$7:$A$15)*(M195&lt;=[2]Result!$B$7:$B$15),0)), "NA"))</f>
        <v>3B</v>
      </c>
    </row>
    <row r="196" spans="1:23" ht="15.75" x14ac:dyDescent="0.25">
      <c r="A196" s="40">
        <v>185</v>
      </c>
      <c r="B196" s="41">
        <v>50048</v>
      </c>
      <c r="C196" s="40" t="str">
        <f>'[2]Evalution 25'!B186</f>
        <v>Youssef Hesham Mahmoud Hassan</v>
      </c>
      <c r="D196" s="42">
        <v>45662</v>
      </c>
      <c r="E196" s="40" t="str">
        <f>'[2]Evalution 25'!C186</f>
        <v>Cairo</v>
      </c>
      <c r="F196" s="40" t="str">
        <f>'[2]Evalution 25'!E186</f>
        <v>Traffic Senior Executive</v>
      </c>
      <c r="G196" s="40" t="str">
        <f>'[2]Evalution 25'!D186</f>
        <v>Traffic</v>
      </c>
      <c r="H196" s="40" t="s">
        <v>554</v>
      </c>
      <c r="I196" s="40" t="s">
        <v>554</v>
      </c>
      <c r="J196" s="40" t="str">
        <f t="shared" si="15"/>
        <v>NA</v>
      </c>
      <c r="K196" s="40" t="s">
        <v>554</v>
      </c>
      <c r="L196" s="40" t="s">
        <v>554</v>
      </c>
      <c r="M196" s="40" t="str">
        <f t="shared" si="16"/>
        <v>NA</v>
      </c>
      <c r="N196" s="40">
        <f>'[2]Evalution 25'!G186</f>
        <v>3.5</v>
      </c>
      <c r="O196" s="40">
        <f>'[2]Evalution 25'!H186</f>
        <v>3.5</v>
      </c>
      <c r="P196" s="40">
        <f t="shared" si="17"/>
        <v>3.5</v>
      </c>
      <c r="Q196" s="43">
        <f t="shared" si="20"/>
        <v>1.75</v>
      </c>
      <c r="R196" s="43" t="str">
        <f t="shared" si="18"/>
        <v>Average</v>
      </c>
      <c r="S196" s="44" t="str">
        <f>IFERROR( _xlfn.XLOOKUP(Q196,[2]Result!$A$7:$A$15,[2]Result!$C$7:$C$15,"Out of range",-1),"N/A")</f>
        <v>1C</v>
      </c>
      <c r="T196" s="43" t="str">
        <f t="shared" si="21"/>
        <v>NA</v>
      </c>
      <c r="U196" s="25" t="str" cm="1">
        <f t="array" ref="U196">IF(OR(J196="NA",J196="NR",ISBLANK(J196)),J196,IFERROR(INDEX([2]Result!$C$7:$C$15,MATCH(1,(J196&gt;=[2]Result!$A$7:$A$15)*(J196&lt;=[2]Result!$B$7:$B$15),0)), "NA"))</f>
        <v>NA</v>
      </c>
      <c r="V196" s="25" t="str">
        <f t="shared" si="19"/>
        <v>NA</v>
      </c>
      <c r="W196" s="25" t="str" cm="1">
        <f t="array" ref="W196">IF(OR(M196="NA",M196="NR",ISBLANK(M196)),M196,IFERROR(INDEX([2]Result!$C$7:$C$15,MATCH(1,(M196&gt;=[2]Result!$A$7:$A$15)*(M196&lt;=[2]Result!$B$7:$B$15),0)), "NA"))</f>
        <v>NA</v>
      </c>
    </row>
    <row r="197" spans="1:23" ht="15.75" x14ac:dyDescent="0.25">
      <c r="A197" s="40">
        <v>186</v>
      </c>
      <c r="B197" s="41">
        <v>31216</v>
      </c>
      <c r="C197" s="40" t="str">
        <f>'[2]Evalution 25'!B187</f>
        <v>Ziyad Mohammed Othman Alomair</v>
      </c>
      <c r="D197" s="42">
        <v>44203</v>
      </c>
      <c r="E197" s="40" t="str">
        <f>'[2]Evalution 25'!C187</f>
        <v>Riyadh</v>
      </c>
      <c r="F197" s="40" t="str">
        <f>'[2]Evalution 25'!E187</f>
        <v>Client Growth Lead</v>
      </c>
      <c r="G197" s="40" t="str">
        <f>'[2]Evalution 25'!D187</f>
        <v>Client Growth</v>
      </c>
      <c r="H197" s="40">
        <f>'[2]Evalutaion 23'!G120</f>
        <v>0</v>
      </c>
      <c r="I197" s="40">
        <f>'[2]Evalutaion 23'!H120</f>
        <v>4.7</v>
      </c>
      <c r="J197" s="40">
        <f t="shared" si="15"/>
        <v>2.35</v>
      </c>
      <c r="K197" s="40" t="s">
        <v>554</v>
      </c>
      <c r="L197" s="40" t="s">
        <v>554</v>
      </c>
      <c r="M197" s="40" t="str">
        <f t="shared" si="16"/>
        <v>NR</v>
      </c>
      <c r="N197" s="40">
        <f>'[2]Evalution 25'!G187</f>
        <v>5</v>
      </c>
      <c r="O197" s="40">
        <f>'[2]Evalution 25'!H187</f>
        <v>5</v>
      </c>
      <c r="P197" s="40">
        <f t="shared" si="17"/>
        <v>5</v>
      </c>
      <c r="Q197" s="43">
        <f t="shared" si="20"/>
        <v>2.4499999999999997</v>
      </c>
      <c r="R197" s="43" t="str">
        <f t="shared" si="18"/>
        <v>High</v>
      </c>
      <c r="S197" s="47" t="str">
        <f>IFERROR( _xlfn.XLOOKUP(Q197,[2]Result!$A$7:$A$15,[2]Result!$C$7:$C$15,"Out of range",-1),"N/A")</f>
        <v>2A</v>
      </c>
      <c r="T197" s="43">
        <f t="shared" si="21"/>
        <v>2.35</v>
      </c>
      <c r="U197" s="25" t="str" cm="1">
        <f t="array" ref="U197">IF(OR(J197="NA",J197="NR",ISBLANK(J197)),J197,IFERROR(INDEX([2]Result!$C$7:$C$15,MATCH(1,(J197&gt;=[2]Result!$A$7:$A$15)*(J197&lt;=[2]Result!$B$7:$B$15),0)), "NA"))</f>
        <v>2A</v>
      </c>
      <c r="V197" s="25" t="str">
        <f t="shared" si="19"/>
        <v>NR</v>
      </c>
      <c r="W197" s="25" t="str" cm="1">
        <f t="array" ref="W197">IF(OR(M197="NA",M197="NR",ISBLANK(M197)),M197,IFERROR(INDEX([2]Result!$C$7:$C$15,MATCH(1,(M197&gt;=[2]Result!$A$7:$A$15)*(M197&lt;=[2]Result!$B$7:$B$15),0)), "NA"))</f>
        <v>NR</v>
      </c>
    </row>
  </sheetData>
  <autoFilter ref="C11:S197" xr:uid="{17FB02CC-69F0-4A19-B33D-8F6820C7930E}"/>
  <mergeCells count="3">
    <mergeCell ref="G2:J2"/>
    <mergeCell ref="A9:S9"/>
    <mergeCell ref="H10:N10"/>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83B8-2888-41AB-B4F0-DB4589B31EC5}">
  <dimension ref="B12:S43"/>
  <sheetViews>
    <sheetView showGridLines="0" topLeftCell="A4" zoomScale="90" zoomScaleNormal="90" workbookViewId="0">
      <selection activeCell="B12" sqref="B12:N13"/>
    </sheetView>
  </sheetViews>
  <sheetFormatPr defaultRowHeight="15" x14ac:dyDescent="0.25"/>
  <cols>
    <col min="2" max="2" width="5.42578125" bestFit="1" customWidth="1"/>
    <col min="3" max="3" width="22.7109375" customWidth="1"/>
    <col min="4" max="4" width="4.85546875" bestFit="1" customWidth="1"/>
    <col min="5" max="5" width="22.7109375" customWidth="1"/>
    <col min="6" max="6" width="4.7109375" bestFit="1" customWidth="1"/>
    <col min="7" max="7" width="22.7109375" customWidth="1"/>
    <col min="8" max="8" width="1.7109375" customWidth="1"/>
    <col min="9" max="9" width="22.7109375" customWidth="1"/>
    <col min="10" max="10" width="1.7109375" customWidth="1"/>
    <col min="11" max="11" width="22.7109375" customWidth="1"/>
    <col min="12" max="12" width="1.7109375" customWidth="1"/>
    <col min="13" max="13" width="85.7109375" customWidth="1"/>
    <col min="14" max="14" width="3.7109375" customWidth="1"/>
    <col min="17" max="17" width="19.140625" bestFit="1" customWidth="1"/>
    <col min="18" max="18" width="39.5703125" bestFit="1" customWidth="1"/>
    <col min="19" max="20" width="253.85546875" bestFit="1" customWidth="1"/>
  </cols>
  <sheetData>
    <row r="12" spans="2:14" ht="15" customHeight="1" x14ac:dyDescent="0.25">
      <c r="B12" s="106" t="s">
        <v>597</v>
      </c>
      <c r="C12" s="107"/>
      <c r="D12" s="107"/>
      <c r="E12" s="107"/>
      <c r="F12" s="107"/>
      <c r="G12" s="107"/>
      <c r="H12" s="107"/>
      <c r="I12" s="107"/>
      <c r="J12" s="107"/>
      <c r="K12" s="107"/>
      <c r="L12" s="107"/>
      <c r="M12" s="107"/>
      <c r="N12" s="107"/>
    </row>
    <row r="13" spans="2:14" ht="15" customHeight="1" x14ac:dyDescent="0.25">
      <c r="B13" s="108"/>
      <c r="C13" s="108"/>
      <c r="D13" s="108"/>
      <c r="E13" s="108"/>
      <c r="F13" s="108"/>
      <c r="G13" s="108"/>
      <c r="H13" s="108"/>
      <c r="I13" s="108"/>
      <c r="J13" s="108"/>
      <c r="K13" s="108"/>
      <c r="L13" s="108"/>
      <c r="M13" s="108"/>
      <c r="N13" s="108"/>
    </row>
    <row r="14" spans="2:14" ht="17.25" x14ac:dyDescent="0.25">
      <c r="B14" s="109"/>
      <c r="C14" s="109"/>
      <c r="D14" s="109"/>
      <c r="E14" s="109"/>
      <c r="F14" s="109"/>
      <c r="G14" s="109"/>
      <c r="H14" s="109"/>
      <c r="I14" s="109"/>
      <c r="J14" s="109"/>
      <c r="K14" s="109"/>
      <c r="L14" s="109"/>
      <c r="M14" s="109"/>
      <c r="N14" s="109"/>
    </row>
    <row r="15" spans="2:14" ht="21" x14ac:dyDescent="0.25">
      <c r="B15" s="110"/>
      <c r="C15" s="110"/>
      <c r="D15" s="110"/>
      <c r="E15" s="110"/>
      <c r="F15" s="110"/>
      <c r="G15" s="110"/>
      <c r="H15" s="110"/>
      <c r="I15" s="110"/>
      <c r="J15" s="110"/>
      <c r="K15" s="110"/>
      <c r="L15" s="110"/>
      <c r="M15" s="110"/>
      <c r="N15" s="110"/>
    </row>
    <row r="16" spans="2:14" x14ac:dyDescent="0.25">
      <c r="B16" s="107"/>
      <c r="C16" s="107"/>
      <c r="D16" s="107"/>
      <c r="E16" s="107"/>
      <c r="F16" s="107"/>
      <c r="G16" s="107"/>
      <c r="H16" s="107"/>
      <c r="I16" s="107"/>
      <c r="J16" s="107"/>
      <c r="K16" s="107"/>
      <c r="L16" s="107"/>
      <c r="M16" s="107"/>
      <c r="N16" s="107"/>
    </row>
    <row r="17" spans="2:19" x14ac:dyDescent="0.25">
      <c r="B17" s="108"/>
      <c r="C17" s="108"/>
      <c r="D17" s="108"/>
      <c r="E17" s="108"/>
      <c r="F17" s="108"/>
      <c r="G17" s="108"/>
      <c r="H17" s="108"/>
      <c r="I17" s="108"/>
      <c r="J17" s="108"/>
      <c r="K17" s="108"/>
      <c r="L17" s="108"/>
      <c r="M17" s="108"/>
      <c r="N17" s="108"/>
    </row>
    <row r="18" spans="2:19" x14ac:dyDescent="0.25">
      <c r="B18" s="5"/>
      <c r="C18" s="6"/>
      <c r="D18" s="6"/>
      <c r="E18" s="6"/>
      <c r="F18" s="6"/>
      <c r="G18" s="6"/>
      <c r="H18" s="6"/>
      <c r="I18" s="6"/>
      <c r="J18" s="6"/>
      <c r="K18" s="6"/>
      <c r="L18" s="6"/>
      <c r="M18" s="6"/>
      <c r="N18" s="7"/>
    </row>
    <row r="19" spans="2:19" x14ac:dyDescent="0.25">
      <c r="B19" s="5"/>
      <c r="C19" s="6"/>
      <c r="D19" s="6"/>
      <c r="E19" s="6"/>
      <c r="F19" s="6"/>
      <c r="G19" s="6"/>
      <c r="H19" s="6"/>
      <c r="I19" s="6"/>
      <c r="J19" s="6"/>
      <c r="K19" s="6"/>
      <c r="L19" s="6"/>
      <c r="M19" s="6"/>
      <c r="N19" s="7"/>
      <c r="P19" s="8" t="s">
        <v>468</v>
      </c>
      <c r="Q19" s="9" t="s">
        <v>469</v>
      </c>
      <c r="R19" s="9" t="s">
        <v>470</v>
      </c>
      <c r="S19" s="10" t="s">
        <v>471</v>
      </c>
    </row>
    <row r="20" spans="2:19" x14ac:dyDescent="0.25">
      <c r="B20" s="5"/>
      <c r="C20" s="6"/>
      <c r="D20" s="6"/>
      <c r="E20" s="6"/>
      <c r="F20" s="6"/>
      <c r="G20" s="6"/>
      <c r="H20" s="6"/>
      <c r="I20" s="6"/>
      <c r="J20" s="6"/>
      <c r="K20" s="6"/>
      <c r="L20" s="6"/>
      <c r="M20" s="6"/>
      <c r="N20" s="7"/>
      <c r="P20" s="15" t="s">
        <v>496</v>
      </c>
      <c r="Q20" s="15" t="s">
        <v>497</v>
      </c>
      <c r="R20" s="12" t="s">
        <v>498</v>
      </c>
      <c r="S20" s="13" t="s">
        <v>499</v>
      </c>
    </row>
    <row r="21" spans="2:19" x14ac:dyDescent="0.25">
      <c r="B21" s="5"/>
      <c r="C21" s="6"/>
      <c r="D21" s="6"/>
      <c r="E21" s="6"/>
      <c r="F21" s="6"/>
      <c r="G21" s="6"/>
      <c r="H21" s="6"/>
      <c r="I21" s="6"/>
      <c r="J21" s="6"/>
      <c r="K21" s="6"/>
      <c r="L21" s="6"/>
      <c r="M21" s="75" t="s">
        <v>3</v>
      </c>
      <c r="N21" s="7"/>
      <c r="P21" s="16" t="s">
        <v>500</v>
      </c>
      <c r="Q21" s="16" t="s">
        <v>501</v>
      </c>
      <c r="R21" s="12" t="s">
        <v>502</v>
      </c>
      <c r="S21" s="13" t="s">
        <v>503</v>
      </c>
    </row>
    <row r="22" spans="2:19" x14ac:dyDescent="0.25">
      <c r="B22" s="5"/>
      <c r="C22" s="6"/>
      <c r="D22" s="6"/>
      <c r="E22" s="6"/>
      <c r="F22" s="6"/>
      <c r="G22" s="6"/>
      <c r="H22" s="6"/>
      <c r="I22" s="6"/>
      <c r="J22" s="6"/>
      <c r="K22" s="6"/>
      <c r="L22" s="6"/>
      <c r="M22" s="75" t="s">
        <v>4</v>
      </c>
      <c r="N22" s="7"/>
      <c r="P22" s="17" t="s">
        <v>504</v>
      </c>
      <c r="Q22" s="17" t="s">
        <v>505</v>
      </c>
      <c r="R22" s="18" t="s">
        <v>506</v>
      </c>
      <c r="S22" s="19" t="s">
        <v>507</v>
      </c>
    </row>
    <row r="23" spans="2:19" x14ac:dyDescent="0.25">
      <c r="B23" s="5"/>
      <c r="C23" s="6"/>
      <c r="D23" s="6"/>
      <c r="E23" s="6"/>
      <c r="F23" s="6"/>
      <c r="G23" s="6"/>
      <c r="H23" s="6"/>
      <c r="I23" s="6"/>
      <c r="J23" s="6"/>
      <c r="K23" s="6"/>
      <c r="L23" s="6"/>
      <c r="M23" s="6"/>
      <c r="N23" s="7"/>
      <c r="P23" s="14" t="s">
        <v>484</v>
      </c>
      <c r="Q23" s="14" t="s">
        <v>485</v>
      </c>
      <c r="R23" s="12" t="s">
        <v>486</v>
      </c>
      <c r="S23" s="13" t="s">
        <v>487</v>
      </c>
    </row>
    <row r="24" spans="2:19" x14ac:dyDescent="0.25">
      <c r="B24" s="5"/>
      <c r="C24" s="6"/>
      <c r="D24" s="6"/>
      <c r="E24" s="6"/>
      <c r="F24" s="6"/>
      <c r="G24" s="6"/>
      <c r="H24" s="6"/>
      <c r="I24" s="6"/>
      <c r="J24" s="6"/>
      <c r="K24" s="6"/>
      <c r="L24" s="6"/>
      <c r="M24" s="6"/>
      <c r="N24" s="7"/>
      <c r="P24" s="15" t="s">
        <v>488</v>
      </c>
      <c r="Q24" s="15" t="s">
        <v>489</v>
      </c>
      <c r="R24" s="12" t="s">
        <v>490</v>
      </c>
      <c r="S24" s="13" t="s">
        <v>491</v>
      </c>
    </row>
    <row r="25" spans="2:19" x14ac:dyDescent="0.25">
      <c r="B25" s="5"/>
      <c r="C25" s="6"/>
      <c r="D25" s="6"/>
      <c r="E25" s="6"/>
      <c r="F25" s="6"/>
      <c r="G25" s="6"/>
      <c r="H25" s="6"/>
      <c r="I25" s="6"/>
      <c r="J25" s="6"/>
      <c r="K25" s="6"/>
      <c r="L25" s="6"/>
      <c r="M25" s="6"/>
      <c r="N25" s="7"/>
      <c r="P25" s="16" t="s">
        <v>492</v>
      </c>
      <c r="Q25" s="16" t="s">
        <v>493</v>
      </c>
      <c r="R25" s="12" t="s">
        <v>494</v>
      </c>
      <c r="S25" s="13" t="s">
        <v>495</v>
      </c>
    </row>
    <row r="26" spans="2:19" x14ac:dyDescent="0.25">
      <c r="B26" s="5"/>
      <c r="C26" s="6"/>
      <c r="D26" s="6"/>
      <c r="E26" s="6"/>
      <c r="F26" s="6"/>
      <c r="G26" s="6"/>
      <c r="H26" s="6"/>
      <c r="I26" s="6"/>
      <c r="J26" s="6"/>
      <c r="K26" s="6"/>
      <c r="L26" s="6"/>
      <c r="M26" s="6"/>
      <c r="N26" s="7"/>
      <c r="P26" s="11" t="s">
        <v>472</v>
      </c>
      <c r="Q26" s="47" t="s">
        <v>473</v>
      </c>
      <c r="R26" s="12" t="s">
        <v>474</v>
      </c>
      <c r="S26" s="13" t="s">
        <v>475</v>
      </c>
    </row>
    <row r="27" spans="2:19" x14ac:dyDescent="0.25">
      <c r="B27" s="5"/>
      <c r="C27" s="6"/>
      <c r="D27" s="6"/>
      <c r="E27" s="6"/>
      <c r="F27" s="6"/>
      <c r="G27" s="6"/>
      <c r="H27" s="6"/>
      <c r="I27" s="6"/>
      <c r="J27" s="6"/>
      <c r="K27" s="6"/>
      <c r="L27" s="6"/>
      <c r="M27" s="6"/>
      <c r="N27" s="7"/>
      <c r="P27" s="14" t="s">
        <v>476</v>
      </c>
      <c r="Q27" s="48" t="s">
        <v>477</v>
      </c>
      <c r="R27" s="12" t="s">
        <v>478</v>
      </c>
      <c r="S27" s="13" t="s">
        <v>479</v>
      </c>
    </row>
    <row r="28" spans="2:19" x14ac:dyDescent="0.25">
      <c r="B28" s="5"/>
      <c r="C28" s="6"/>
      <c r="D28" s="6"/>
      <c r="E28" s="6"/>
      <c r="F28" s="6"/>
      <c r="G28" s="6"/>
      <c r="H28" s="6"/>
      <c r="I28" s="6"/>
      <c r="J28" s="6"/>
      <c r="K28" s="6"/>
      <c r="L28" s="6"/>
      <c r="M28" s="6"/>
      <c r="N28" s="7"/>
      <c r="P28" s="71" t="s">
        <v>480</v>
      </c>
      <c r="Q28" s="72" t="s">
        <v>481</v>
      </c>
      <c r="R28" s="18" t="s">
        <v>482</v>
      </c>
      <c r="S28" s="19" t="s">
        <v>483</v>
      </c>
    </row>
    <row r="29" spans="2:19" x14ac:dyDescent="0.25">
      <c r="B29" s="5"/>
      <c r="C29" s="6"/>
      <c r="D29" s="6"/>
      <c r="E29" s="6"/>
      <c r="F29" s="6"/>
      <c r="G29" s="6"/>
      <c r="H29" s="6"/>
      <c r="I29" s="6"/>
      <c r="J29" s="6"/>
      <c r="K29" s="6"/>
      <c r="L29" s="6"/>
      <c r="M29" s="6"/>
      <c r="N29" s="7"/>
    </row>
    <row r="30" spans="2:19" x14ac:dyDescent="0.25">
      <c r="B30" s="5"/>
      <c r="C30" s="6"/>
      <c r="D30" s="6"/>
      <c r="E30" s="6"/>
      <c r="F30" s="6"/>
      <c r="G30" s="6"/>
      <c r="H30" s="6"/>
      <c r="I30" s="6"/>
      <c r="J30" s="6"/>
      <c r="K30" s="6"/>
      <c r="L30" s="6"/>
      <c r="M30" s="6"/>
      <c r="N30" s="7"/>
    </row>
    <row r="31" spans="2:19" x14ac:dyDescent="0.25">
      <c r="B31" s="5"/>
      <c r="C31" s="6"/>
      <c r="D31" s="6"/>
      <c r="E31" s="6"/>
      <c r="F31" s="6"/>
      <c r="G31" s="6"/>
      <c r="H31" s="6"/>
      <c r="I31" s="6"/>
      <c r="J31" s="6"/>
      <c r="K31" s="6"/>
      <c r="L31" s="6"/>
      <c r="M31" s="6"/>
      <c r="N31" s="7"/>
    </row>
    <row r="32" spans="2:19" x14ac:dyDescent="0.25">
      <c r="B32" s="5"/>
      <c r="C32" s="6"/>
      <c r="D32" s="6"/>
      <c r="E32" s="6"/>
      <c r="F32" s="6"/>
      <c r="G32" s="6"/>
      <c r="H32" s="6"/>
      <c r="I32" s="6"/>
      <c r="J32" s="6"/>
      <c r="K32" s="6"/>
      <c r="L32" s="6"/>
      <c r="M32" s="6"/>
      <c r="N32" s="7"/>
    </row>
    <row r="33" spans="2:14" x14ac:dyDescent="0.25">
      <c r="B33" s="5"/>
      <c r="C33" s="6"/>
      <c r="D33" s="6"/>
      <c r="E33" s="6"/>
      <c r="F33" s="6"/>
      <c r="G33" s="6"/>
      <c r="H33" s="6"/>
      <c r="I33" s="6"/>
      <c r="J33" s="6"/>
      <c r="K33" s="6"/>
      <c r="L33" s="6"/>
      <c r="M33" s="6"/>
      <c r="N33" s="7"/>
    </row>
    <row r="34" spans="2:14" x14ac:dyDescent="0.25">
      <c r="B34" s="5"/>
      <c r="C34" s="6"/>
      <c r="D34" s="6"/>
      <c r="E34" s="6"/>
      <c r="F34" s="6"/>
      <c r="G34" s="6"/>
      <c r="H34" s="6"/>
      <c r="I34" s="6"/>
      <c r="J34" s="6"/>
      <c r="K34" s="6"/>
      <c r="L34" s="6"/>
      <c r="M34" s="6"/>
      <c r="N34" s="7"/>
    </row>
    <row r="35" spans="2:14" x14ac:dyDescent="0.25">
      <c r="B35" s="5"/>
      <c r="C35" s="6"/>
      <c r="D35" s="6"/>
      <c r="E35" s="6"/>
      <c r="F35" s="6"/>
      <c r="G35" s="6"/>
      <c r="H35" s="6"/>
      <c r="I35" s="6"/>
      <c r="J35" s="6"/>
      <c r="K35" s="6"/>
      <c r="L35" s="6"/>
      <c r="M35" s="6"/>
      <c r="N35" s="7"/>
    </row>
    <row r="36" spans="2:14" x14ac:dyDescent="0.25">
      <c r="B36" s="5"/>
      <c r="C36" s="6"/>
      <c r="D36" s="6"/>
      <c r="E36" s="6"/>
      <c r="F36" s="6"/>
      <c r="G36" s="6"/>
      <c r="H36" s="6"/>
      <c r="I36" s="6"/>
      <c r="J36" s="6"/>
      <c r="K36" s="6"/>
      <c r="L36" s="6"/>
      <c r="M36" s="6"/>
      <c r="N36" s="7"/>
    </row>
    <row r="37" spans="2:14" x14ac:dyDescent="0.25">
      <c r="B37" s="5"/>
      <c r="C37" s="6"/>
      <c r="D37" s="6"/>
      <c r="E37" s="6"/>
      <c r="F37" s="20"/>
      <c r="G37" s="6"/>
      <c r="H37" s="6"/>
      <c r="I37" s="6"/>
      <c r="J37" s="6"/>
      <c r="K37" s="6"/>
      <c r="L37" s="6"/>
      <c r="M37" s="6"/>
      <c r="N37" s="7"/>
    </row>
    <row r="38" spans="2:14" x14ac:dyDescent="0.25">
      <c r="B38" s="5"/>
      <c r="C38" s="6"/>
      <c r="D38" s="6"/>
      <c r="E38" s="6"/>
      <c r="F38" s="20"/>
      <c r="G38" s="6"/>
      <c r="H38" s="6"/>
      <c r="I38" s="6"/>
      <c r="J38" s="6"/>
      <c r="K38" s="6"/>
      <c r="L38" s="6"/>
      <c r="M38" s="6"/>
      <c r="N38" s="7"/>
    </row>
    <row r="39" spans="2:14" x14ac:dyDescent="0.25">
      <c r="B39" s="5"/>
      <c r="C39" s="6"/>
      <c r="D39" s="6"/>
      <c r="E39" s="6"/>
      <c r="F39" s="20"/>
      <c r="G39" s="6"/>
      <c r="H39" s="6"/>
      <c r="I39" s="6"/>
      <c r="J39" s="6"/>
      <c r="K39" s="6"/>
      <c r="L39" s="6"/>
      <c r="M39" s="6"/>
      <c r="N39" s="7"/>
    </row>
    <row r="40" spans="2:14" x14ac:dyDescent="0.25">
      <c r="B40" s="5"/>
      <c r="C40" s="6"/>
      <c r="D40" s="6"/>
      <c r="E40" s="6"/>
      <c r="F40" s="20"/>
      <c r="G40" s="6"/>
      <c r="H40" s="6"/>
      <c r="I40" s="6"/>
      <c r="J40" s="6"/>
      <c r="K40" s="6"/>
      <c r="L40" s="6"/>
      <c r="M40" s="6"/>
      <c r="N40" s="7"/>
    </row>
    <row r="41" spans="2:14" x14ac:dyDescent="0.25">
      <c r="B41" s="21"/>
      <c r="C41" s="22"/>
      <c r="D41" s="22"/>
      <c r="E41" s="22"/>
      <c r="F41" s="22"/>
      <c r="G41" s="22"/>
      <c r="H41" s="22"/>
      <c r="I41" s="22"/>
      <c r="J41" s="22"/>
      <c r="K41" s="22"/>
      <c r="L41" s="22"/>
      <c r="M41" s="22"/>
      <c r="N41" s="23"/>
    </row>
    <row r="42" spans="2:14" x14ac:dyDescent="0.25">
      <c r="B42" s="1"/>
      <c r="C42" s="1"/>
      <c r="D42" s="1"/>
      <c r="E42" s="1"/>
      <c r="F42" s="1"/>
      <c r="G42" s="1"/>
      <c r="H42" s="1"/>
      <c r="I42" s="1"/>
      <c r="J42" s="1"/>
      <c r="K42" s="1"/>
      <c r="L42" s="1"/>
      <c r="M42" s="1"/>
      <c r="N42" s="1"/>
    </row>
    <row r="43" spans="2:14" x14ac:dyDescent="0.25">
      <c r="B43" s="105"/>
      <c r="C43" s="105"/>
      <c r="D43" s="105"/>
      <c r="E43" s="105"/>
      <c r="F43" s="105"/>
      <c r="G43" s="105"/>
      <c r="H43" s="105"/>
      <c r="I43" s="105"/>
      <c r="J43" s="105"/>
      <c r="K43" s="105"/>
      <c r="L43" s="105"/>
      <c r="M43" s="105"/>
      <c r="N43" s="105"/>
    </row>
  </sheetData>
  <mergeCells count="5">
    <mergeCell ref="B43:N43"/>
    <mergeCell ref="B12:N13"/>
    <mergeCell ref="B14:N14"/>
    <mergeCell ref="B15:N15"/>
    <mergeCell ref="B16:N17"/>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5193FA3-F73B-4D0D-A652-5A7936E03CB4}">
          <x14:formula1>
            <xm:f>'Evalutaion 23'!$D$10:$D$129</xm:f>
          </x14:formula1>
          <xm:sqref>M21</xm:sqref>
        </x14:dataValidation>
        <x14:dataValidation type="list" allowBlank="1" showInputMessage="1" showErrorMessage="1" xr:uid="{D2901F80-1EE0-4679-A2DA-109FF6E35029}">
          <x14:formula1>
            <xm:f>'Evalutaion 23'!$E$10:$E$129</xm:f>
          </x14:formula1>
          <xm:sqref>M22</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8290-F9BD-4D0A-99E5-1A27763BA52B}">
  <dimension ref="A2:M129"/>
  <sheetViews>
    <sheetView topLeftCell="A2" zoomScale="80" zoomScaleNormal="80" workbookViewId="0">
      <selection activeCell="B14" sqref="B14"/>
    </sheetView>
  </sheetViews>
  <sheetFormatPr defaultRowHeight="15" x14ac:dyDescent="0.25"/>
  <cols>
    <col min="1" max="1" width="24.28515625" bestFit="1" customWidth="1"/>
    <col min="2" max="2" width="49.28515625" bestFit="1" customWidth="1"/>
    <col min="3" max="3" width="49.28515625" customWidth="1"/>
    <col min="4" max="4" width="11.5703125" bestFit="1" customWidth="1"/>
    <col min="5" max="5" width="19.28515625" bestFit="1" customWidth="1"/>
    <col min="6" max="6" width="38.85546875" bestFit="1" customWidth="1"/>
    <col min="7" max="7" width="48.140625" bestFit="1" customWidth="1"/>
    <col min="8" max="8" width="34.7109375" bestFit="1" customWidth="1"/>
    <col min="9" max="9" width="19.5703125" bestFit="1" customWidth="1"/>
    <col min="10" max="10" width="28.140625" bestFit="1" customWidth="1"/>
    <col min="11" max="11" width="21.5703125" bestFit="1" customWidth="1"/>
    <col min="12" max="12" width="18" bestFit="1" customWidth="1"/>
    <col min="13" max="13" width="14.28515625" style="24" bestFit="1" customWidth="1"/>
  </cols>
  <sheetData>
    <row r="2" spans="1:13" x14ac:dyDescent="0.25">
      <c r="H2" s="99" t="s">
        <v>533</v>
      </c>
      <c r="I2" s="100"/>
      <c r="K2" s="101" t="s">
        <v>580</v>
      </c>
      <c r="L2" s="101"/>
      <c r="M2"/>
    </row>
    <row r="3" spans="1:13" x14ac:dyDescent="0.25">
      <c r="B3" s="93" t="s">
        <v>577</v>
      </c>
      <c r="C3" s="54" t="s">
        <v>529</v>
      </c>
      <c r="D3" s="51" cm="1">
        <f t="array" aca="1" ref="D3" ca="1">SUMPRODUCT(SUBTOTAL(103,OFFSET('Evalutaion 23'!$M$2,ROW('Evalutaion 23'!$M$2:$M$500)-ROW('Evalutaion 23'!$M$2),0))*('Evalutaion 23'!$M$2:$M$500="3A"))</f>
        <v>3</v>
      </c>
      <c r="E3" s="51" cm="1">
        <f t="array" aca="1" ref="E3" ca="1">SUMPRODUCT(SUBTOTAL(103,OFFSET('Evalutaion 23'!$M$2,ROW('Evalutaion 23'!$M$2:$M$500)-ROW('Evalutaion 23'!$M$2),0))*('Evalutaion 23'!$M$2:$M$500="3B"))</f>
        <v>3</v>
      </c>
      <c r="F3" s="52" cm="1">
        <f t="array" aca="1" ref="F3" ca="1">SUMPRODUCT(SUBTOTAL(103,OFFSET('Evalutaion 23'!$M$2,ROW('Evalutaion 23'!$M$2:$M$500)-ROW('Evalutaion 23'!$M$2),0))*('Evalutaion 23'!$M$2:$M$500="3C"))</f>
        <v>23</v>
      </c>
      <c r="H3" s="40" t="s">
        <v>516</v>
      </c>
      <c r="I3" s="40">
        <v>3.4</v>
      </c>
      <c r="K3" s="65" t="s">
        <v>579</v>
      </c>
      <c r="L3" s="65">
        <v>3</v>
      </c>
      <c r="M3"/>
    </row>
    <row r="4" spans="1:13" x14ac:dyDescent="0.25">
      <c r="B4" s="94"/>
      <c r="C4" s="55" t="s">
        <v>576</v>
      </c>
      <c r="D4" s="25" cm="1">
        <f t="array" aca="1" ref="D4" ca="1">SUMPRODUCT(SUBTOTAL(103,OFFSET('Evalutaion 23'!$M$2,ROW('Evalutaion 23'!$M$2:$M$500)-ROW('Evalutaion 23'!$M$2),0))*('Evalutaion 23'!$M$2:$M$500="2A"))</f>
        <v>30</v>
      </c>
      <c r="E4" s="25" cm="1">
        <f t="array" aca="1" ref="E4" ca="1">SUMPRODUCT(SUBTOTAL(103,OFFSET('Evalutaion 23'!$M$2,ROW('Evalutaion 23'!$M$2:$M$500)-ROW('Evalutaion 23'!$M$2),0))*('Evalutaion 23'!$M$2:$M$500="2B"))</f>
        <v>52</v>
      </c>
      <c r="F4" s="53" cm="1">
        <f t="array" aca="1" ref="F4" ca="1">SUMPRODUCT(SUBTOTAL(103,OFFSET('Evalutaion 23'!$M$2,ROW('Evalutaion 23'!$M$2:$M$500)-ROW('Evalutaion 23'!$M$2),0))*('Evalutaion 23'!$M$2:$M$500="2C"))</f>
        <v>5</v>
      </c>
      <c r="H4" s="40" t="s">
        <v>522</v>
      </c>
      <c r="I4" s="40">
        <v>4.4000000000000004</v>
      </c>
      <c r="K4" s="65" t="s">
        <v>576</v>
      </c>
      <c r="L4" s="65">
        <v>4.4000000000000004</v>
      </c>
      <c r="M4"/>
    </row>
    <row r="5" spans="1:13" x14ac:dyDescent="0.25">
      <c r="B5" s="95"/>
      <c r="C5" s="56" t="s">
        <v>579</v>
      </c>
      <c r="D5" s="25" cm="1">
        <f t="array" aca="1" ref="D5" ca="1">SUMPRODUCT(SUBTOTAL(103,OFFSET('Evalutaion 23'!$M$2,ROW('Evalutaion 23'!$M$2:$M$500)-ROW('Evalutaion 23'!$M$2),0))*('Evalutaion 23'!$M$2:$M$500="1A"))</f>
        <v>2</v>
      </c>
      <c r="E5" s="25" cm="1">
        <f t="array" aca="1" ref="E5" ca="1">SUMPRODUCT(SUBTOTAL(103,OFFSET('Evalutaion 23'!$M$2,ROW('Evalutaion 23'!$M$2:$M$500)-ROW('Evalutaion 23'!$M$2),0))*('Evalutaion 23'!$M$2:$M$500="1B"))</f>
        <v>0</v>
      </c>
      <c r="F5" s="53" cm="1">
        <f t="array" aca="1" ref="F5" ca="1">SUMPRODUCT(SUBTOTAL(103,OFFSET('Evalutaion 23'!$M$2,ROW('Evalutaion 23'!$M$2:$M$500)-ROW('Evalutaion 23'!$M$2),0))*('Evalutaion 23'!$M$2:$M$500="1C"))</f>
        <v>0</v>
      </c>
      <c r="H5" s="40" t="s">
        <v>529</v>
      </c>
      <c r="I5" s="40"/>
      <c r="K5" s="65" t="s">
        <v>529</v>
      </c>
      <c r="L5" s="65"/>
      <c r="M5"/>
    </row>
    <row r="6" spans="1:13" x14ac:dyDescent="0.25">
      <c r="D6" s="57" t="s">
        <v>516</v>
      </c>
      <c r="E6" s="58" t="s">
        <v>522</v>
      </c>
      <c r="F6" s="59" t="s">
        <v>529</v>
      </c>
      <c r="H6" s="24"/>
      <c r="M6"/>
    </row>
    <row r="7" spans="1:13" x14ac:dyDescent="0.25">
      <c r="D7" s="96" t="s">
        <v>578</v>
      </c>
      <c r="E7" s="97"/>
      <c r="F7" s="98"/>
    </row>
    <row r="10" spans="1:13" x14ac:dyDescent="0.25">
      <c r="A10" s="77" t="s">
        <v>0</v>
      </c>
      <c r="B10" s="78" t="s">
        <v>1</v>
      </c>
      <c r="C10" s="79" t="s">
        <v>2</v>
      </c>
      <c r="D10" s="78" t="s">
        <v>3</v>
      </c>
      <c r="E10" s="78" t="s">
        <v>4</v>
      </c>
      <c r="F10" s="78" t="s">
        <v>5</v>
      </c>
      <c r="G10" s="78" t="s">
        <v>6</v>
      </c>
      <c r="H10" s="80" t="s">
        <v>7</v>
      </c>
      <c r="I10" s="81" t="s">
        <v>8</v>
      </c>
      <c r="J10" s="82" t="s">
        <v>9</v>
      </c>
      <c r="K10" s="82" t="s">
        <v>10</v>
      </c>
      <c r="L10" s="82" t="s">
        <v>580</v>
      </c>
      <c r="M10" s="83" t="s">
        <v>582</v>
      </c>
    </row>
    <row r="11" spans="1:13" x14ac:dyDescent="0.25">
      <c r="A11" s="76">
        <v>31260</v>
      </c>
      <c r="B11" s="12" t="s">
        <v>12</v>
      </c>
      <c r="C11" s="67" t="str">
        <f>_xlfn.XLOOKUP(A11,Table8[Employee Number],Table8[Joining Date],"")</f>
        <v>29/12/2021</v>
      </c>
      <c r="D11" s="12" t="s">
        <v>585</v>
      </c>
      <c r="E11" s="12" t="s">
        <v>555</v>
      </c>
      <c r="F11" s="12" t="s">
        <v>14</v>
      </c>
      <c r="G11" s="12" t="s">
        <v>16</v>
      </c>
      <c r="H11" s="65">
        <f t="shared" ref="H11:H42" si="0">AVERAGE(I11,J11)</f>
        <v>5</v>
      </c>
      <c r="I11" s="65">
        <v>5</v>
      </c>
      <c r="J11" s="65">
        <v>5</v>
      </c>
      <c r="K11" s="65" t="str">
        <f t="shared" ref="K11:K42" si="1">IF(H11="","",
IF(OR(H11="NR",H11="NA"),"NA",
IF(H11&lt;$I$3,"Poor",
IF(H11&lt;$I$4,"Average","High")
)))</f>
        <v>High</v>
      </c>
      <c r="L11" s="12" t="str">
        <f t="shared" ref="L11:L42" si="2">IF(J11="","",
IF(OR(J11="NR",J11="NA"),"NA",
IF(J11&lt;$L$3,"Low",
IF(J11&lt;$L$4,"Medium","High")
)))</f>
        <v>High</v>
      </c>
      <c r="M11" s="70" t="str">
        <f t="shared" ref="M11:M42" si="3">IF(OR(K11="",L11=""),"",
IF(AND(K11=$H$5,L11=$K$5),"3C",
IF(AND(K11=$H$4,L11=$K$5),"3B",
IF(AND(K11=$H$3,L11=$K$5),"3A",
IF(AND(K11=$H$5,L11=$K$4),"2C",
IF(AND(K11=$H$4,L11=$K$4),"2B",
IF(AND(K11=$H$3,L11=$K$4),"2A",
IF(AND(K11=$H$5,L11=$K$3),"1C",
IF(AND(K11=$H$4,L11=$K$3),"1B",
IF(AND(K11=$H$3,L11=$K$3),"1A","")
)))))))))</f>
        <v>3C</v>
      </c>
    </row>
    <row r="12" spans="1:13" x14ac:dyDescent="0.25">
      <c r="A12" s="76">
        <v>4756</v>
      </c>
      <c r="B12" s="12" t="s">
        <v>144</v>
      </c>
      <c r="C12" s="67" t="str">
        <f>_xlfn.XLOOKUP(A12,Table8[Employee Number],Table8[Joining Date],"")</f>
        <v>01/01/2021</v>
      </c>
      <c r="D12" s="12" t="s">
        <v>586</v>
      </c>
      <c r="E12" s="12" t="s">
        <v>556</v>
      </c>
      <c r="F12" s="12" t="s">
        <v>146</v>
      </c>
      <c r="G12" s="12" t="s">
        <v>117</v>
      </c>
      <c r="H12" s="65">
        <f t="shared" si="0"/>
        <v>3.8499999999999996</v>
      </c>
      <c r="I12" s="65">
        <v>3.9</v>
      </c>
      <c r="J12" s="65">
        <v>3.8</v>
      </c>
      <c r="K12" s="65" t="str">
        <f t="shared" si="1"/>
        <v>Average</v>
      </c>
      <c r="L12" s="12" t="str">
        <f t="shared" si="2"/>
        <v>Medium</v>
      </c>
      <c r="M12" s="70" t="str">
        <f t="shared" si="3"/>
        <v>2B</v>
      </c>
    </row>
    <row r="13" spans="1:13" x14ac:dyDescent="0.25">
      <c r="A13" s="76">
        <v>48121</v>
      </c>
      <c r="B13" s="12" t="s">
        <v>271</v>
      </c>
      <c r="C13" s="67" t="str">
        <f>_xlfn.XLOOKUP(A13,Table8[Employee Number],Table8[Joining Date],"")</f>
        <v>25/09/2023</v>
      </c>
      <c r="D13" s="12" t="s">
        <v>585</v>
      </c>
      <c r="E13" s="12" t="s">
        <v>557</v>
      </c>
      <c r="F13" s="12" t="s">
        <v>449</v>
      </c>
      <c r="G13" s="12" t="s">
        <v>283</v>
      </c>
      <c r="H13" s="65">
        <f t="shared" si="0"/>
        <v>3.35</v>
      </c>
      <c r="I13" s="65">
        <v>3</v>
      </c>
      <c r="J13" s="65">
        <v>3.7</v>
      </c>
      <c r="K13" s="65" t="str">
        <f t="shared" si="1"/>
        <v>Poor</v>
      </c>
      <c r="L13" s="12" t="str">
        <f t="shared" si="2"/>
        <v>Medium</v>
      </c>
      <c r="M13" s="70" t="str">
        <f t="shared" si="3"/>
        <v>2A</v>
      </c>
    </row>
    <row r="14" spans="1:13" x14ac:dyDescent="0.25">
      <c r="A14" s="76">
        <v>10848</v>
      </c>
      <c r="B14" s="12" t="s">
        <v>313</v>
      </c>
      <c r="C14" s="67" t="str">
        <f>_xlfn.XLOOKUP(A14,Table8[Employee Number],Table8[Joining Date],"")</f>
        <v>16/05/2021</v>
      </c>
      <c r="D14" s="12" t="s">
        <v>586</v>
      </c>
      <c r="E14" s="12" t="s">
        <v>558</v>
      </c>
      <c r="F14" s="12" t="s">
        <v>315</v>
      </c>
      <c r="G14" s="12" t="s">
        <v>316</v>
      </c>
      <c r="H14" s="65">
        <f t="shared" si="0"/>
        <v>4.8</v>
      </c>
      <c r="I14" s="65">
        <v>4.5999999999999996</v>
      </c>
      <c r="J14" s="65">
        <v>5</v>
      </c>
      <c r="K14" s="65" t="str">
        <f t="shared" si="1"/>
        <v>High</v>
      </c>
      <c r="L14" s="12" t="str">
        <f t="shared" si="2"/>
        <v>High</v>
      </c>
      <c r="M14" s="70" t="str">
        <f t="shared" si="3"/>
        <v>3C</v>
      </c>
    </row>
    <row r="15" spans="1:13" x14ac:dyDescent="0.25">
      <c r="A15" s="76">
        <v>6557</v>
      </c>
      <c r="B15" s="12" t="s">
        <v>53</v>
      </c>
      <c r="C15" s="67" t="str">
        <f>_xlfn.XLOOKUP(A15,Table8[Employee Number],Table8[Joining Date],"")</f>
        <v>01/06/2022</v>
      </c>
      <c r="D15" s="12" t="s">
        <v>587</v>
      </c>
      <c r="E15" s="12" t="s">
        <v>559</v>
      </c>
      <c r="F15" s="12" t="s">
        <v>54</v>
      </c>
      <c r="G15" s="12" t="s">
        <v>55</v>
      </c>
      <c r="H15" s="65">
        <f t="shared" si="0"/>
        <v>4.3</v>
      </c>
      <c r="I15" s="65">
        <v>4.3</v>
      </c>
      <c r="J15" s="65">
        <v>4.3</v>
      </c>
      <c r="K15" s="65" t="str">
        <f t="shared" si="1"/>
        <v>Average</v>
      </c>
      <c r="L15" s="12" t="str">
        <f t="shared" si="2"/>
        <v>Medium</v>
      </c>
      <c r="M15" s="70" t="str">
        <f t="shared" si="3"/>
        <v>2B</v>
      </c>
    </row>
    <row r="16" spans="1:13" x14ac:dyDescent="0.25">
      <c r="A16" s="76">
        <v>4984</v>
      </c>
      <c r="B16" s="12" t="s">
        <v>170</v>
      </c>
      <c r="C16" s="67" t="str">
        <f>_xlfn.XLOOKUP(A16,Table8[Employee Number],Table8[Joining Date],"")</f>
        <v>24/11/2020</v>
      </c>
      <c r="D16" s="12" t="s">
        <v>586</v>
      </c>
      <c r="E16" s="12" t="s">
        <v>560</v>
      </c>
      <c r="F16" s="12" t="s">
        <v>172</v>
      </c>
      <c r="G16" s="12" t="s">
        <v>29</v>
      </c>
      <c r="H16" s="65">
        <f t="shared" si="0"/>
        <v>3.85</v>
      </c>
      <c r="I16" s="65">
        <v>4</v>
      </c>
      <c r="J16" s="65">
        <v>3.7</v>
      </c>
      <c r="K16" s="65" t="str">
        <f t="shared" si="1"/>
        <v>Average</v>
      </c>
      <c r="L16" s="12" t="str">
        <f t="shared" si="2"/>
        <v>Medium</v>
      </c>
      <c r="M16" s="70" t="str">
        <f t="shared" si="3"/>
        <v>2B</v>
      </c>
    </row>
    <row r="17" spans="1:13" x14ac:dyDescent="0.25">
      <c r="A17" s="76">
        <v>10115</v>
      </c>
      <c r="B17" s="12" t="s">
        <v>316</v>
      </c>
      <c r="C17" s="67" t="str">
        <f>_xlfn.XLOOKUP(A17,Table8[Employee Number],Table8[Joining Date],"")</f>
        <v>01/06/2022</v>
      </c>
      <c r="D17" s="12" t="s">
        <v>586</v>
      </c>
      <c r="E17" s="12" t="s">
        <v>558</v>
      </c>
      <c r="F17" s="12" t="s">
        <v>465</v>
      </c>
      <c r="G17" s="12" t="s">
        <v>382</v>
      </c>
      <c r="H17" s="65">
        <f t="shared" si="0"/>
        <v>1.9</v>
      </c>
      <c r="I17" s="65">
        <v>0</v>
      </c>
      <c r="J17" s="65">
        <v>3.8</v>
      </c>
      <c r="K17" s="65" t="str">
        <f t="shared" si="1"/>
        <v>Poor</v>
      </c>
      <c r="L17" s="12" t="str">
        <f t="shared" si="2"/>
        <v>Medium</v>
      </c>
      <c r="M17" s="70" t="str">
        <f t="shared" si="3"/>
        <v>2A</v>
      </c>
    </row>
    <row r="18" spans="1:13" x14ac:dyDescent="0.25">
      <c r="A18" s="76">
        <v>6572</v>
      </c>
      <c r="B18" s="12" t="s">
        <v>238</v>
      </c>
      <c r="C18" s="67" t="str">
        <f>_xlfn.XLOOKUP(A18,Table8[Employee Number],Table8[Joining Date],"")</f>
        <v>01/06/2022</v>
      </c>
      <c r="D18" s="12" t="s">
        <v>587</v>
      </c>
      <c r="E18" s="12" t="s">
        <v>561</v>
      </c>
      <c r="F18" s="12" t="s">
        <v>230</v>
      </c>
      <c r="G18" s="12" t="s">
        <v>225</v>
      </c>
      <c r="H18" s="65">
        <f t="shared" si="0"/>
        <v>3.4</v>
      </c>
      <c r="I18" s="65">
        <v>3.5</v>
      </c>
      <c r="J18" s="65">
        <v>3.3</v>
      </c>
      <c r="K18" s="65" t="str">
        <f t="shared" si="1"/>
        <v>Average</v>
      </c>
      <c r="L18" s="12" t="str">
        <f t="shared" si="2"/>
        <v>Medium</v>
      </c>
      <c r="M18" s="70" t="str">
        <f t="shared" si="3"/>
        <v>2B</v>
      </c>
    </row>
    <row r="19" spans="1:13" x14ac:dyDescent="0.25">
      <c r="A19" s="76">
        <v>6609</v>
      </c>
      <c r="B19" s="12" t="s">
        <v>58</v>
      </c>
      <c r="C19" s="67" t="str">
        <f>_xlfn.XLOOKUP(A19,Table8[Employee Number],Table8[Joining Date],"")</f>
        <v>01/06/2022</v>
      </c>
      <c r="D19" s="12" t="s">
        <v>587</v>
      </c>
      <c r="E19" s="12" t="s">
        <v>559</v>
      </c>
      <c r="F19" s="12" t="s">
        <v>387</v>
      </c>
      <c r="G19" s="12" t="s">
        <v>65</v>
      </c>
      <c r="H19" s="65">
        <f t="shared" si="0"/>
        <v>3.75</v>
      </c>
      <c r="I19" s="65">
        <v>3.7</v>
      </c>
      <c r="J19" s="65">
        <v>3.8</v>
      </c>
      <c r="K19" s="65" t="str">
        <f t="shared" si="1"/>
        <v>Average</v>
      </c>
      <c r="L19" s="12" t="str">
        <f t="shared" si="2"/>
        <v>Medium</v>
      </c>
      <c r="M19" s="70" t="str">
        <f t="shared" si="3"/>
        <v>2B</v>
      </c>
    </row>
    <row r="20" spans="1:13" x14ac:dyDescent="0.25">
      <c r="A20" s="76">
        <v>10853</v>
      </c>
      <c r="B20" s="12" t="s">
        <v>237</v>
      </c>
      <c r="C20" s="67" t="str">
        <f>_xlfn.XLOOKUP(A20,Table8[Employee Number],Table8[Joining Date],"")</f>
        <v>04/07/2021</v>
      </c>
      <c r="D20" s="12" t="s">
        <v>586</v>
      </c>
      <c r="E20" s="12" t="s">
        <v>561</v>
      </c>
      <c r="F20" s="12" t="s">
        <v>427</v>
      </c>
      <c r="G20" s="12" t="s">
        <v>250</v>
      </c>
      <c r="H20" s="65">
        <f t="shared" si="0"/>
        <v>3.25</v>
      </c>
      <c r="I20" s="65">
        <v>3.5</v>
      </c>
      <c r="J20" s="65">
        <v>3</v>
      </c>
      <c r="K20" s="65" t="str">
        <f t="shared" si="1"/>
        <v>Poor</v>
      </c>
      <c r="L20" s="12" t="str">
        <f t="shared" si="2"/>
        <v>Medium</v>
      </c>
      <c r="M20" s="70" t="str">
        <f t="shared" si="3"/>
        <v>2A</v>
      </c>
    </row>
    <row r="21" spans="1:13" x14ac:dyDescent="0.25">
      <c r="A21" s="76">
        <v>6570</v>
      </c>
      <c r="B21" s="12" t="s">
        <v>320</v>
      </c>
      <c r="C21" s="67" t="str">
        <f>_xlfn.XLOOKUP(A21,Table8[Employee Number],Table8[Joining Date],"")</f>
        <v>01/06/2022</v>
      </c>
      <c r="D21" s="12" t="s">
        <v>587</v>
      </c>
      <c r="E21" s="12" t="s">
        <v>558</v>
      </c>
      <c r="F21" s="12" t="s">
        <v>321</v>
      </c>
      <c r="G21" s="12" t="s">
        <v>319</v>
      </c>
      <c r="H21" s="65">
        <f t="shared" si="0"/>
        <v>3.85</v>
      </c>
      <c r="I21" s="65">
        <v>4</v>
      </c>
      <c r="J21" s="65">
        <v>3.7</v>
      </c>
      <c r="K21" s="65" t="str">
        <f t="shared" si="1"/>
        <v>Average</v>
      </c>
      <c r="L21" s="12" t="str">
        <f t="shared" si="2"/>
        <v>Medium</v>
      </c>
      <c r="M21" s="70" t="str">
        <f t="shared" si="3"/>
        <v>2B</v>
      </c>
    </row>
    <row r="22" spans="1:13" x14ac:dyDescent="0.25">
      <c r="A22" s="76">
        <v>6555</v>
      </c>
      <c r="B22" s="12" t="s">
        <v>317</v>
      </c>
      <c r="C22" s="67" t="str">
        <f>_xlfn.XLOOKUP(A22,Table8[Employee Number],Table8[Joining Date],"")</f>
        <v>01/06/2022</v>
      </c>
      <c r="D22" s="12" t="s">
        <v>587</v>
      </c>
      <c r="E22" s="12" t="s">
        <v>558</v>
      </c>
      <c r="F22" s="12" t="s">
        <v>318</v>
      </c>
      <c r="G22" s="12" t="s">
        <v>319</v>
      </c>
      <c r="H22" s="65">
        <f t="shared" si="0"/>
        <v>4.3499999999999996</v>
      </c>
      <c r="I22" s="65">
        <v>4.2</v>
      </c>
      <c r="J22" s="65">
        <v>4.5</v>
      </c>
      <c r="K22" s="65" t="str">
        <f t="shared" si="1"/>
        <v>Average</v>
      </c>
      <c r="L22" s="12" t="str">
        <f t="shared" si="2"/>
        <v>High</v>
      </c>
      <c r="M22" s="70" t="str">
        <f t="shared" si="3"/>
        <v>3B</v>
      </c>
    </row>
    <row r="23" spans="1:13" x14ac:dyDescent="0.25">
      <c r="A23" s="76">
        <v>6595</v>
      </c>
      <c r="B23" s="12" t="s">
        <v>443</v>
      </c>
      <c r="C23" s="67" t="str">
        <f>_xlfn.XLOOKUP(A23,Table8[Employee Number],Table8[Joining Date],"")</f>
        <v>01/06/2022</v>
      </c>
      <c r="D23" s="12" t="s">
        <v>587</v>
      </c>
      <c r="E23" s="12" t="s">
        <v>562</v>
      </c>
      <c r="F23" s="12" t="s">
        <v>444</v>
      </c>
      <c r="G23" s="12" t="s">
        <v>384</v>
      </c>
      <c r="H23" s="65">
        <f t="shared" si="0"/>
        <v>4.9000000000000004</v>
      </c>
      <c r="I23" s="65">
        <v>5</v>
      </c>
      <c r="J23" s="65">
        <v>4.8</v>
      </c>
      <c r="K23" s="65" t="str">
        <f t="shared" si="1"/>
        <v>High</v>
      </c>
      <c r="L23" s="12" t="str">
        <f t="shared" si="2"/>
        <v>High</v>
      </c>
      <c r="M23" s="70" t="str">
        <f t="shared" si="3"/>
        <v>3C</v>
      </c>
    </row>
    <row r="24" spans="1:13" x14ac:dyDescent="0.25">
      <c r="A24" s="76">
        <v>31428</v>
      </c>
      <c r="B24" s="12" t="s">
        <v>97</v>
      </c>
      <c r="C24" s="67" t="str">
        <f>_xlfn.XLOOKUP(A24,Table8[Employee Number],Table8[Joining Date],"")</f>
        <v>23/01/2022</v>
      </c>
      <c r="D24" s="12" t="s">
        <v>585</v>
      </c>
      <c r="E24" s="12" t="s">
        <v>556</v>
      </c>
      <c r="F24" s="12" t="s">
        <v>99</v>
      </c>
      <c r="G24" s="12" t="s">
        <v>100</v>
      </c>
      <c r="H24" s="65">
        <f t="shared" si="0"/>
        <v>4.5500000000000007</v>
      </c>
      <c r="I24" s="65">
        <v>4.4000000000000004</v>
      </c>
      <c r="J24" s="65">
        <v>4.7</v>
      </c>
      <c r="K24" s="65" t="str">
        <f t="shared" si="1"/>
        <v>High</v>
      </c>
      <c r="L24" s="12" t="str">
        <f t="shared" si="2"/>
        <v>High</v>
      </c>
      <c r="M24" s="70" t="str">
        <f t="shared" si="3"/>
        <v>3C</v>
      </c>
    </row>
    <row r="25" spans="1:13" x14ac:dyDescent="0.25">
      <c r="A25" s="76">
        <v>47437</v>
      </c>
      <c r="B25" s="12" t="s">
        <v>183</v>
      </c>
      <c r="C25" s="67" t="str">
        <f>_xlfn.XLOOKUP(A25,Table8[Employee Number],Table8[Joining Date],"")</f>
        <v>27/03/2023</v>
      </c>
      <c r="D25" s="12" t="s">
        <v>586</v>
      </c>
      <c r="E25" s="12" t="s">
        <v>560</v>
      </c>
      <c r="F25" s="12" t="s">
        <v>172</v>
      </c>
      <c r="G25" s="12" t="s">
        <v>173</v>
      </c>
      <c r="H25" s="65">
        <f t="shared" si="0"/>
        <v>3.5</v>
      </c>
      <c r="I25" s="65">
        <v>3.5</v>
      </c>
      <c r="J25" s="65">
        <v>3.5</v>
      </c>
      <c r="K25" s="65" t="str">
        <f t="shared" si="1"/>
        <v>Average</v>
      </c>
      <c r="L25" s="12" t="str">
        <f t="shared" si="2"/>
        <v>Medium</v>
      </c>
      <c r="M25" s="70" t="str">
        <f t="shared" si="3"/>
        <v>2B</v>
      </c>
    </row>
    <row r="26" spans="1:13" x14ac:dyDescent="0.25">
      <c r="A26" s="76">
        <v>48064</v>
      </c>
      <c r="B26" s="12" t="s">
        <v>148</v>
      </c>
      <c r="C26" s="67" t="str">
        <f>_xlfn.XLOOKUP(A26,Table8[Employee Number],Table8[Joining Date],"")</f>
        <v>04/09/2023</v>
      </c>
      <c r="D26" s="12" t="s">
        <v>586</v>
      </c>
      <c r="E26" s="12" t="s">
        <v>556</v>
      </c>
      <c r="F26" s="12" t="s">
        <v>150</v>
      </c>
      <c r="G26" s="12" t="s">
        <v>563</v>
      </c>
      <c r="H26" s="65">
        <f t="shared" si="0"/>
        <v>1.65</v>
      </c>
      <c r="I26" s="65">
        <v>0</v>
      </c>
      <c r="J26" s="65">
        <v>3.3</v>
      </c>
      <c r="K26" s="65" t="str">
        <f t="shared" si="1"/>
        <v>Poor</v>
      </c>
      <c r="L26" s="12" t="str">
        <f t="shared" si="2"/>
        <v>Medium</v>
      </c>
      <c r="M26" s="70" t="str">
        <f t="shared" si="3"/>
        <v>2A</v>
      </c>
    </row>
    <row r="27" spans="1:13" x14ac:dyDescent="0.25">
      <c r="A27" s="76">
        <v>6571</v>
      </c>
      <c r="B27" s="12" t="s">
        <v>324</v>
      </c>
      <c r="C27" s="67" t="str">
        <f>_xlfn.XLOOKUP(A27,Table8[Employee Number],Table8[Joining Date],"")</f>
        <v>01/06/2022</v>
      </c>
      <c r="D27" s="12" t="s">
        <v>587</v>
      </c>
      <c r="E27" s="12" t="s">
        <v>558</v>
      </c>
      <c r="F27" s="12" t="s">
        <v>321</v>
      </c>
      <c r="G27" s="12" t="s">
        <v>319</v>
      </c>
      <c r="H27" s="65">
        <f t="shared" si="0"/>
        <v>4</v>
      </c>
      <c r="I27" s="65">
        <v>4</v>
      </c>
      <c r="J27" s="65">
        <v>4</v>
      </c>
      <c r="K27" s="65" t="str">
        <f t="shared" si="1"/>
        <v>Average</v>
      </c>
      <c r="L27" s="12" t="str">
        <f t="shared" si="2"/>
        <v>Medium</v>
      </c>
      <c r="M27" s="70" t="str">
        <f t="shared" si="3"/>
        <v>2B</v>
      </c>
    </row>
    <row r="28" spans="1:13" x14ac:dyDescent="0.25">
      <c r="A28" s="76">
        <v>6552</v>
      </c>
      <c r="B28" s="12" t="s">
        <v>63</v>
      </c>
      <c r="C28" s="67" t="str">
        <f>_xlfn.XLOOKUP(A28,Table8[Employee Number],Table8[Joining Date],"")</f>
        <v>01/06/2022</v>
      </c>
      <c r="D28" s="12" t="s">
        <v>587</v>
      </c>
      <c r="E28" s="12" t="s">
        <v>559</v>
      </c>
      <c r="F28" s="12" t="s">
        <v>64</v>
      </c>
      <c r="G28" s="12" t="s">
        <v>392</v>
      </c>
      <c r="H28" s="65">
        <f t="shared" si="0"/>
        <v>4.5</v>
      </c>
      <c r="I28" s="65">
        <v>4.7</v>
      </c>
      <c r="J28" s="65">
        <v>4.3</v>
      </c>
      <c r="K28" s="65" t="str">
        <f t="shared" si="1"/>
        <v>High</v>
      </c>
      <c r="L28" s="12" t="str">
        <f t="shared" si="2"/>
        <v>Medium</v>
      </c>
      <c r="M28" s="70" t="str">
        <f t="shared" si="3"/>
        <v>2C</v>
      </c>
    </row>
    <row r="29" spans="1:13" x14ac:dyDescent="0.25">
      <c r="A29" s="76">
        <v>31257</v>
      </c>
      <c r="B29" s="12" t="s">
        <v>15</v>
      </c>
      <c r="C29" s="67" t="str">
        <f>_xlfn.XLOOKUP(A29,Table8[Employee Number],Table8[Joining Date],"")</f>
        <v>01/11/2021</v>
      </c>
      <c r="D29" s="12" t="s">
        <v>585</v>
      </c>
      <c r="E29" s="12" t="s">
        <v>562</v>
      </c>
      <c r="F29" s="12" t="s">
        <v>446</v>
      </c>
      <c r="G29" s="12" t="s">
        <v>382</v>
      </c>
      <c r="H29" s="65">
        <f t="shared" si="0"/>
        <v>3.9</v>
      </c>
      <c r="I29" s="65">
        <v>4</v>
      </c>
      <c r="J29" s="65">
        <v>3.8</v>
      </c>
      <c r="K29" s="65" t="str">
        <f t="shared" si="1"/>
        <v>Average</v>
      </c>
      <c r="L29" s="12" t="str">
        <f t="shared" si="2"/>
        <v>Medium</v>
      </c>
      <c r="M29" s="70" t="str">
        <f t="shared" si="3"/>
        <v>2B</v>
      </c>
    </row>
    <row r="30" spans="1:13" x14ac:dyDescent="0.25">
      <c r="A30" s="76">
        <v>6614</v>
      </c>
      <c r="B30" s="12" t="s">
        <v>24</v>
      </c>
      <c r="C30" s="67" t="str">
        <f>_xlfn.XLOOKUP(A30,Table8[Employee Number],Table8[Joining Date],"")</f>
        <v>01/06/2022</v>
      </c>
      <c r="D30" s="12" t="s">
        <v>587</v>
      </c>
      <c r="E30" s="12" t="s">
        <v>555</v>
      </c>
      <c r="F30" s="12" t="s">
        <v>22</v>
      </c>
      <c r="G30" s="12" t="s">
        <v>443</v>
      </c>
      <c r="H30" s="65">
        <f t="shared" si="0"/>
        <v>3</v>
      </c>
      <c r="I30" s="65">
        <v>3</v>
      </c>
      <c r="J30" s="65">
        <v>3</v>
      </c>
      <c r="K30" s="65" t="str">
        <f t="shared" si="1"/>
        <v>Poor</v>
      </c>
      <c r="L30" s="12" t="str">
        <f t="shared" si="2"/>
        <v>Medium</v>
      </c>
      <c r="M30" s="70" t="str">
        <f t="shared" si="3"/>
        <v>2A</v>
      </c>
    </row>
    <row r="31" spans="1:13" x14ac:dyDescent="0.25">
      <c r="A31" s="76">
        <v>10845</v>
      </c>
      <c r="B31" s="12" t="s">
        <v>325</v>
      </c>
      <c r="C31" s="67" t="str">
        <f>_xlfn.XLOOKUP(A31,Table8[Employee Number],Table8[Joining Date],"")</f>
        <v>11/04/2021</v>
      </c>
      <c r="D31" s="12" t="s">
        <v>586</v>
      </c>
      <c r="E31" s="12" t="s">
        <v>558</v>
      </c>
      <c r="F31" s="12" t="s">
        <v>327</v>
      </c>
      <c r="G31" s="12" t="s">
        <v>316</v>
      </c>
      <c r="H31" s="65">
        <f t="shared" si="0"/>
        <v>4.55</v>
      </c>
      <c r="I31" s="65">
        <v>4.3</v>
      </c>
      <c r="J31" s="65">
        <v>4.8</v>
      </c>
      <c r="K31" s="65" t="str">
        <f t="shared" si="1"/>
        <v>High</v>
      </c>
      <c r="L31" s="12" t="str">
        <f t="shared" si="2"/>
        <v>High</v>
      </c>
      <c r="M31" s="70" t="str">
        <f t="shared" si="3"/>
        <v>3C</v>
      </c>
    </row>
    <row r="32" spans="1:13" x14ac:dyDescent="0.25">
      <c r="A32" s="76">
        <v>10312</v>
      </c>
      <c r="B32" s="12" t="s">
        <v>328</v>
      </c>
      <c r="C32" s="67" t="str">
        <f>_xlfn.XLOOKUP(A32,Table8[Employee Number],Table8[Joining Date],"")</f>
        <v>06/12/2020</v>
      </c>
      <c r="D32" s="12" t="s">
        <v>586</v>
      </c>
      <c r="E32" s="12" t="s">
        <v>558</v>
      </c>
      <c r="F32" s="12" t="s">
        <v>315</v>
      </c>
      <c r="G32" s="12" t="s">
        <v>316</v>
      </c>
      <c r="H32" s="65">
        <f t="shared" si="0"/>
        <v>3.55</v>
      </c>
      <c r="I32" s="65">
        <v>3.6</v>
      </c>
      <c r="J32" s="65">
        <v>3.5</v>
      </c>
      <c r="K32" s="65" t="str">
        <f t="shared" si="1"/>
        <v>Average</v>
      </c>
      <c r="L32" s="12" t="str">
        <f t="shared" si="2"/>
        <v>Medium</v>
      </c>
      <c r="M32" s="70" t="str">
        <f t="shared" si="3"/>
        <v>2B</v>
      </c>
    </row>
    <row r="33" spans="1:13" x14ac:dyDescent="0.25">
      <c r="A33" s="76">
        <v>31254</v>
      </c>
      <c r="B33" s="12" t="s">
        <v>101</v>
      </c>
      <c r="C33" s="67" t="str">
        <f>_xlfn.XLOOKUP(A33,Table8[Employee Number],Table8[Joining Date],"")</f>
        <v>19/09/2021</v>
      </c>
      <c r="D33" s="12" t="s">
        <v>585</v>
      </c>
      <c r="E33" s="12" t="s">
        <v>556</v>
      </c>
      <c r="F33" s="12" t="s">
        <v>103</v>
      </c>
      <c r="G33" s="12" t="s">
        <v>104</v>
      </c>
      <c r="H33" s="65">
        <f t="shared" si="0"/>
        <v>3.3499999999999996</v>
      </c>
      <c r="I33" s="65">
        <v>3.4</v>
      </c>
      <c r="J33" s="65">
        <v>3.3</v>
      </c>
      <c r="K33" s="65" t="str">
        <f t="shared" si="1"/>
        <v>Poor</v>
      </c>
      <c r="L33" s="12" t="str">
        <f t="shared" si="2"/>
        <v>Medium</v>
      </c>
      <c r="M33" s="70" t="str">
        <f t="shared" si="3"/>
        <v>2A</v>
      </c>
    </row>
    <row r="34" spans="1:13" x14ac:dyDescent="0.25">
      <c r="A34" s="76">
        <v>47611</v>
      </c>
      <c r="B34" s="12" t="s">
        <v>26</v>
      </c>
      <c r="C34" s="67" t="str">
        <f>_xlfn.XLOOKUP(A34,Table8[Employee Number],Table8[Joining Date],"")</f>
        <v>28/08/2023</v>
      </c>
      <c r="D34" s="12" t="s">
        <v>586</v>
      </c>
      <c r="E34" s="12" t="s">
        <v>555</v>
      </c>
      <c r="F34" s="12" t="s">
        <v>28</v>
      </c>
      <c r="G34" s="12" t="s">
        <v>29</v>
      </c>
      <c r="H34" s="65">
        <f t="shared" si="0"/>
        <v>2</v>
      </c>
      <c r="I34" s="65">
        <v>0</v>
      </c>
      <c r="J34" s="65">
        <v>4</v>
      </c>
      <c r="K34" s="65" t="str">
        <f t="shared" si="1"/>
        <v>Poor</v>
      </c>
      <c r="L34" s="12" t="str">
        <f t="shared" si="2"/>
        <v>Medium</v>
      </c>
      <c r="M34" s="70" t="str">
        <f t="shared" si="3"/>
        <v>2A</v>
      </c>
    </row>
    <row r="35" spans="1:13" x14ac:dyDescent="0.25">
      <c r="A35" s="76">
        <v>4363</v>
      </c>
      <c r="B35" s="12" t="s">
        <v>152</v>
      </c>
      <c r="C35" s="67" t="str">
        <f>_xlfn.XLOOKUP(A35,Table8[Employee Number],Table8[Joining Date],"")</f>
        <v>01/01/2021</v>
      </c>
      <c r="D35" s="12" t="s">
        <v>586</v>
      </c>
      <c r="E35" s="12" t="s">
        <v>556</v>
      </c>
      <c r="F35" s="12" t="s">
        <v>113</v>
      </c>
      <c r="G35" s="12" t="s">
        <v>100</v>
      </c>
      <c r="H35" s="65">
        <f t="shared" si="0"/>
        <v>4.9000000000000004</v>
      </c>
      <c r="I35" s="65">
        <v>5</v>
      </c>
      <c r="J35" s="65">
        <v>4.8</v>
      </c>
      <c r="K35" s="65" t="str">
        <f t="shared" si="1"/>
        <v>High</v>
      </c>
      <c r="L35" s="12" t="str">
        <f t="shared" si="2"/>
        <v>High</v>
      </c>
      <c r="M35" s="70" t="str">
        <f t="shared" si="3"/>
        <v>3C</v>
      </c>
    </row>
    <row r="36" spans="1:13" x14ac:dyDescent="0.25">
      <c r="A36" s="76">
        <v>10325</v>
      </c>
      <c r="B36" s="12" t="s">
        <v>174</v>
      </c>
      <c r="C36" s="67" t="str">
        <f>_xlfn.XLOOKUP(A36,Table8[Employee Number],Table8[Joining Date],"")</f>
        <v>01/02/2021</v>
      </c>
      <c r="D36" s="12" t="s">
        <v>586</v>
      </c>
      <c r="E36" s="12" t="s">
        <v>560</v>
      </c>
      <c r="F36" s="12" t="s">
        <v>176</v>
      </c>
      <c r="G36" s="12" t="s">
        <v>413</v>
      </c>
      <c r="H36" s="65">
        <f t="shared" si="0"/>
        <v>3.6</v>
      </c>
      <c r="I36" s="65">
        <v>3.5</v>
      </c>
      <c r="J36" s="65">
        <v>3.7</v>
      </c>
      <c r="K36" s="65" t="str">
        <f t="shared" si="1"/>
        <v>Average</v>
      </c>
      <c r="L36" s="12" t="str">
        <f t="shared" si="2"/>
        <v>Medium</v>
      </c>
      <c r="M36" s="70" t="str">
        <f t="shared" si="3"/>
        <v>2B</v>
      </c>
    </row>
    <row r="37" spans="1:13" x14ac:dyDescent="0.25">
      <c r="A37" s="76">
        <v>6659</v>
      </c>
      <c r="B37" s="12" t="s">
        <v>30</v>
      </c>
      <c r="C37" s="67" t="str">
        <f>_xlfn.XLOOKUP(A37,Table8[Employee Number],Table8[Joining Date],"")</f>
        <v>25/09/2022</v>
      </c>
      <c r="D37" s="12" t="s">
        <v>587</v>
      </c>
      <c r="E37" s="12" t="s">
        <v>555</v>
      </c>
      <c r="F37" s="12" t="s">
        <v>32</v>
      </c>
      <c r="G37" s="12" t="s">
        <v>443</v>
      </c>
      <c r="H37" s="65">
        <f t="shared" si="0"/>
        <v>3</v>
      </c>
      <c r="I37" s="65">
        <v>3</v>
      </c>
      <c r="J37" s="65">
        <v>3</v>
      </c>
      <c r="K37" s="65" t="str">
        <f t="shared" si="1"/>
        <v>Poor</v>
      </c>
      <c r="L37" s="12" t="str">
        <f t="shared" si="2"/>
        <v>Medium</v>
      </c>
      <c r="M37" s="70" t="str">
        <f t="shared" si="3"/>
        <v>2A</v>
      </c>
    </row>
    <row r="38" spans="1:13" x14ac:dyDescent="0.25">
      <c r="A38" s="76">
        <v>47687</v>
      </c>
      <c r="B38" s="12" t="s">
        <v>156</v>
      </c>
      <c r="C38" s="67" t="str">
        <f>_xlfn.XLOOKUP(A38,Table8[Employee Number],Table8[Joining Date],"")</f>
        <v>17/07/2023</v>
      </c>
      <c r="D38" s="12" t="s">
        <v>586</v>
      </c>
      <c r="E38" s="12" t="s">
        <v>556</v>
      </c>
      <c r="F38" s="12" t="s">
        <v>158</v>
      </c>
      <c r="G38" s="12" t="s">
        <v>117</v>
      </c>
      <c r="H38" s="65">
        <f t="shared" si="0"/>
        <v>1.65</v>
      </c>
      <c r="I38" s="65">
        <v>0</v>
      </c>
      <c r="J38" s="65">
        <v>3.3</v>
      </c>
      <c r="K38" s="65" t="str">
        <f t="shared" si="1"/>
        <v>Poor</v>
      </c>
      <c r="L38" s="12" t="str">
        <f t="shared" si="2"/>
        <v>Medium</v>
      </c>
      <c r="M38" s="70" t="str">
        <f t="shared" si="3"/>
        <v>2A</v>
      </c>
    </row>
    <row r="39" spans="1:13" x14ac:dyDescent="0.25">
      <c r="A39" s="76">
        <v>47515</v>
      </c>
      <c r="B39" s="12" t="s">
        <v>66</v>
      </c>
      <c r="C39" s="67" t="str">
        <f>_xlfn.XLOOKUP(A39,Table8[Employee Number],Table8[Joining Date],"")</f>
        <v>28/03/2023</v>
      </c>
      <c r="D39" s="12" t="s">
        <v>587</v>
      </c>
      <c r="E39" s="12" t="s">
        <v>559</v>
      </c>
      <c r="F39" s="12" t="s">
        <v>54</v>
      </c>
      <c r="G39" s="12" t="s">
        <v>55</v>
      </c>
      <c r="H39" s="65">
        <f t="shared" si="0"/>
        <v>3.75</v>
      </c>
      <c r="I39" s="65">
        <v>4</v>
      </c>
      <c r="J39" s="65">
        <v>3.5</v>
      </c>
      <c r="K39" s="65" t="str">
        <f t="shared" si="1"/>
        <v>Average</v>
      </c>
      <c r="L39" s="12" t="str">
        <f t="shared" si="2"/>
        <v>Medium</v>
      </c>
      <c r="M39" s="70" t="str">
        <f t="shared" si="3"/>
        <v>2B</v>
      </c>
    </row>
    <row r="40" spans="1:13" x14ac:dyDescent="0.25">
      <c r="A40" s="76">
        <v>47875</v>
      </c>
      <c r="B40" s="12" t="s">
        <v>197</v>
      </c>
      <c r="C40" s="67" t="str">
        <f>_xlfn.XLOOKUP(A40,Table8[Employee Number],Table8[Joining Date],"")</f>
        <v>01/08/2023</v>
      </c>
      <c r="D40" s="12" t="s">
        <v>587</v>
      </c>
      <c r="E40" s="12" t="s">
        <v>561</v>
      </c>
      <c r="F40" s="12" t="s">
        <v>199</v>
      </c>
      <c r="G40" s="12" t="s">
        <v>238</v>
      </c>
      <c r="H40" s="65">
        <f t="shared" si="0"/>
        <v>1.5</v>
      </c>
      <c r="I40" s="65">
        <v>0</v>
      </c>
      <c r="J40" s="65">
        <v>3</v>
      </c>
      <c r="K40" s="65" t="str">
        <f t="shared" si="1"/>
        <v>Poor</v>
      </c>
      <c r="L40" s="12" t="str">
        <f t="shared" si="2"/>
        <v>Medium</v>
      </c>
      <c r="M40" s="70" t="str">
        <f t="shared" si="3"/>
        <v>2A</v>
      </c>
    </row>
    <row r="41" spans="1:13" x14ac:dyDescent="0.25">
      <c r="A41" s="76">
        <v>31252</v>
      </c>
      <c r="B41" s="12" t="s">
        <v>110</v>
      </c>
      <c r="C41" s="67" t="str">
        <f>_xlfn.XLOOKUP(A41,Table8[Employee Number],Table8[Joining Date],"")</f>
        <v>01/09/2021</v>
      </c>
      <c r="D41" s="12" t="s">
        <v>585</v>
      </c>
      <c r="E41" s="12" t="s">
        <v>556</v>
      </c>
      <c r="F41" s="12" t="s">
        <v>400</v>
      </c>
      <c r="G41" s="12" t="s">
        <v>401</v>
      </c>
      <c r="H41" s="65">
        <f t="shared" si="0"/>
        <v>4.3</v>
      </c>
      <c r="I41" s="65">
        <v>4.5999999999999996</v>
      </c>
      <c r="J41" s="65">
        <v>4</v>
      </c>
      <c r="K41" s="65" t="str">
        <f t="shared" si="1"/>
        <v>Average</v>
      </c>
      <c r="L41" s="12" t="str">
        <f t="shared" si="2"/>
        <v>Medium</v>
      </c>
      <c r="M41" s="70" t="str">
        <f t="shared" si="3"/>
        <v>2B</v>
      </c>
    </row>
    <row r="42" spans="1:13" x14ac:dyDescent="0.25">
      <c r="A42" s="76">
        <v>31253</v>
      </c>
      <c r="B42" s="12" t="s">
        <v>108</v>
      </c>
      <c r="C42" s="67" t="str">
        <f>_xlfn.XLOOKUP(A42,Table8[Employee Number],Table8[Joining Date],"")</f>
        <v>05/09/2021</v>
      </c>
      <c r="D42" s="12" t="s">
        <v>585</v>
      </c>
      <c r="E42" s="12" t="s">
        <v>556</v>
      </c>
      <c r="F42" s="12" t="s">
        <v>99</v>
      </c>
      <c r="G42" s="12" t="s">
        <v>110</v>
      </c>
      <c r="H42" s="65">
        <f t="shared" si="0"/>
        <v>4.3499999999999996</v>
      </c>
      <c r="I42" s="65">
        <v>4.2</v>
      </c>
      <c r="J42" s="65">
        <v>4.5</v>
      </c>
      <c r="K42" s="65" t="str">
        <f t="shared" si="1"/>
        <v>Average</v>
      </c>
      <c r="L42" s="12" t="str">
        <f t="shared" si="2"/>
        <v>High</v>
      </c>
      <c r="M42" s="70" t="str">
        <f t="shared" si="3"/>
        <v>3B</v>
      </c>
    </row>
    <row r="43" spans="1:13" x14ac:dyDescent="0.25">
      <c r="A43" s="76">
        <v>48090</v>
      </c>
      <c r="B43" s="12" t="s">
        <v>70</v>
      </c>
      <c r="C43" s="67" t="str">
        <f>_xlfn.XLOOKUP(A43,Table8[Employee Number],Table8[Joining Date],"")</f>
        <v>17/09/2023</v>
      </c>
      <c r="D43" s="12" t="s">
        <v>587</v>
      </c>
      <c r="E43" s="12" t="s">
        <v>559</v>
      </c>
      <c r="F43" s="12" t="s">
        <v>61</v>
      </c>
      <c r="G43" s="12" t="s">
        <v>55</v>
      </c>
      <c r="H43" s="65">
        <f t="shared" ref="H43:H74" si="4">AVERAGE(I43,J43)</f>
        <v>3</v>
      </c>
      <c r="I43" s="65">
        <v>3</v>
      </c>
      <c r="J43" s="65">
        <v>3</v>
      </c>
      <c r="K43" s="65" t="str">
        <f t="shared" ref="K43:K74" si="5">IF(H43="","",
IF(OR(H43="NR",H43="NA"),"NA",
IF(H43&lt;$I$3,"Poor",
IF(H43&lt;$I$4,"Average","High")
)))</f>
        <v>Poor</v>
      </c>
      <c r="L43" s="12" t="str">
        <f t="shared" ref="L43:L74" si="6">IF(J43="","",
IF(OR(J43="NR",J43="NA"),"NA",
IF(J43&lt;$L$3,"Low",
IF(J43&lt;$L$4,"Medium","High")
)))</f>
        <v>Medium</v>
      </c>
      <c r="M43" s="70" t="str">
        <f t="shared" ref="M43:M74" si="7">IF(OR(K43="",L43=""),"",
IF(AND(K43=$H$5,L43=$K$5),"3C",
IF(AND(K43=$H$4,L43=$K$5),"3B",
IF(AND(K43=$H$3,L43=$K$5),"3A",
IF(AND(K43=$H$5,L43=$K$4),"2C",
IF(AND(K43=$H$4,L43=$K$4),"2B",
IF(AND(K43=$H$3,L43=$K$4),"2A",
IF(AND(K43=$H$5,L43=$K$3),"1C",
IF(AND(K43=$H$4,L43=$K$3),"1B",
IF(AND(K43=$H$3,L43=$K$3),"1A","")
)))))))))</f>
        <v>2A</v>
      </c>
    </row>
    <row r="44" spans="1:13" x14ac:dyDescent="0.25">
      <c r="A44" s="76">
        <v>6606</v>
      </c>
      <c r="B44" s="12" t="s">
        <v>33</v>
      </c>
      <c r="C44" s="67" t="str">
        <f>_xlfn.XLOOKUP(A44,Table8[Employee Number],Table8[Joining Date],"")</f>
        <v>01/06/2022</v>
      </c>
      <c r="D44" s="12" t="s">
        <v>587</v>
      </c>
      <c r="E44" s="12" t="s">
        <v>555</v>
      </c>
      <c r="F44" s="12" t="s">
        <v>22</v>
      </c>
      <c r="G44" s="12" t="s">
        <v>443</v>
      </c>
      <c r="H44" s="65">
        <f t="shared" si="4"/>
        <v>3</v>
      </c>
      <c r="I44" s="65">
        <v>3</v>
      </c>
      <c r="J44" s="65">
        <v>3</v>
      </c>
      <c r="K44" s="65" t="str">
        <f t="shared" si="5"/>
        <v>Poor</v>
      </c>
      <c r="L44" s="12" t="str">
        <f t="shared" si="6"/>
        <v>Medium</v>
      </c>
      <c r="M44" s="70" t="str">
        <f t="shared" si="7"/>
        <v>2A</v>
      </c>
    </row>
    <row r="45" spans="1:13" x14ac:dyDescent="0.25">
      <c r="A45" s="76">
        <v>10318</v>
      </c>
      <c r="B45" s="12" t="s">
        <v>337</v>
      </c>
      <c r="C45" s="67" t="str">
        <f>_xlfn.XLOOKUP(A45,Table8[Employee Number],Table8[Joining Date],"")</f>
        <v>23/12/2020</v>
      </c>
      <c r="D45" s="12" t="s">
        <v>586</v>
      </c>
      <c r="E45" s="12" t="s">
        <v>558</v>
      </c>
      <c r="F45" s="12" t="s">
        <v>315</v>
      </c>
      <c r="G45" s="12" t="s">
        <v>316</v>
      </c>
      <c r="H45" s="65">
        <f t="shared" si="4"/>
        <v>3.7</v>
      </c>
      <c r="I45" s="65">
        <v>3.6</v>
      </c>
      <c r="J45" s="65">
        <v>3.8</v>
      </c>
      <c r="K45" s="65" t="str">
        <f t="shared" si="5"/>
        <v>Average</v>
      </c>
      <c r="L45" s="12" t="str">
        <f t="shared" si="6"/>
        <v>Medium</v>
      </c>
      <c r="M45" s="70" t="str">
        <f t="shared" si="7"/>
        <v>2B</v>
      </c>
    </row>
    <row r="46" spans="1:13" x14ac:dyDescent="0.25">
      <c r="A46" s="76">
        <v>31251</v>
      </c>
      <c r="B46" s="12" t="s">
        <v>111</v>
      </c>
      <c r="C46" s="67" t="str">
        <f>_xlfn.XLOOKUP(A46,Table8[Employee Number],Table8[Joining Date],"")</f>
        <v>03/08/2021</v>
      </c>
      <c r="D46" s="12" t="s">
        <v>585</v>
      </c>
      <c r="E46" s="12" t="s">
        <v>556</v>
      </c>
      <c r="F46" s="12" t="s">
        <v>113</v>
      </c>
      <c r="G46" s="12" t="s">
        <v>104</v>
      </c>
      <c r="H46" s="65">
        <f t="shared" si="4"/>
        <v>3.85</v>
      </c>
      <c r="I46" s="65">
        <v>3.7</v>
      </c>
      <c r="J46" s="65">
        <v>4</v>
      </c>
      <c r="K46" s="65" t="str">
        <f t="shared" si="5"/>
        <v>Average</v>
      </c>
      <c r="L46" s="12" t="str">
        <f t="shared" si="6"/>
        <v>Medium</v>
      </c>
      <c r="M46" s="70" t="str">
        <f t="shared" si="7"/>
        <v>2B</v>
      </c>
    </row>
    <row r="47" spans="1:13" x14ac:dyDescent="0.25">
      <c r="A47" s="76">
        <v>31291</v>
      </c>
      <c r="B47" s="12" t="s">
        <v>127</v>
      </c>
      <c r="C47" s="67" t="str">
        <f>_xlfn.XLOOKUP(A47,Table8[Employee Number],Table8[Joining Date],"")</f>
        <v>01/01/2021</v>
      </c>
      <c r="D47" s="12" t="s">
        <v>585</v>
      </c>
      <c r="E47" s="12" t="s">
        <v>556</v>
      </c>
      <c r="F47" s="12" t="s">
        <v>406</v>
      </c>
      <c r="G47" s="12" t="s">
        <v>401</v>
      </c>
      <c r="H47" s="65">
        <f t="shared" si="4"/>
        <v>4.2</v>
      </c>
      <c r="I47" s="65">
        <v>4.4000000000000004</v>
      </c>
      <c r="J47" s="65">
        <v>4</v>
      </c>
      <c r="K47" s="65" t="str">
        <f t="shared" si="5"/>
        <v>Average</v>
      </c>
      <c r="L47" s="12" t="str">
        <f t="shared" si="6"/>
        <v>Medium</v>
      </c>
      <c r="M47" s="70" t="str">
        <f t="shared" si="7"/>
        <v>2B</v>
      </c>
    </row>
    <row r="48" spans="1:13" x14ac:dyDescent="0.25">
      <c r="A48" s="76">
        <v>47618</v>
      </c>
      <c r="B48" s="12" t="s">
        <v>52</v>
      </c>
      <c r="C48" s="67" t="str">
        <f>_xlfn.XLOOKUP(A48,Table8[Employee Number],Table8[Joining Date],"")</f>
        <v>01/05/2023</v>
      </c>
      <c r="D48" s="12" t="s">
        <v>587</v>
      </c>
      <c r="E48" s="12" t="s">
        <v>559</v>
      </c>
      <c r="F48" s="12" t="s">
        <v>389</v>
      </c>
      <c r="G48" s="12" t="s">
        <v>65</v>
      </c>
      <c r="H48" s="65">
        <f t="shared" si="4"/>
        <v>3.8</v>
      </c>
      <c r="I48" s="65">
        <v>3.8</v>
      </c>
      <c r="J48" s="65">
        <v>3.8</v>
      </c>
      <c r="K48" s="65" t="str">
        <f t="shared" si="5"/>
        <v>Average</v>
      </c>
      <c r="L48" s="12" t="str">
        <f t="shared" si="6"/>
        <v>Medium</v>
      </c>
      <c r="M48" s="70" t="str">
        <f t="shared" si="7"/>
        <v>2B</v>
      </c>
    </row>
    <row r="49" spans="1:13" x14ac:dyDescent="0.25">
      <c r="A49" s="76">
        <v>10859</v>
      </c>
      <c r="B49" s="12" t="s">
        <v>225</v>
      </c>
      <c r="C49" s="67" t="str">
        <f>_xlfn.XLOOKUP(A49,Table8[Employee Number],Table8[Joining Date],"")</f>
        <v>15/12/2021</v>
      </c>
      <c r="D49" s="12" t="s">
        <v>586</v>
      </c>
      <c r="E49" s="12" t="s">
        <v>561</v>
      </c>
      <c r="F49" s="12" t="s">
        <v>439</v>
      </c>
      <c r="G49" s="12" t="s">
        <v>382</v>
      </c>
      <c r="H49" s="65">
        <f t="shared" si="4"/>
        <v>3.9499999999999997</v>
      </c>
      <c r="I49" s="65">
        <v>4.0999999999999996</v>
      </c>
      <c r="J49" s="65">
        <v>3.8</v>
      </c>
      <c r="K49" s="65" t="str">
        <f t="shared" si="5"/>
        <v>Average</v>
      </c>
      <c r="L49" s="12" t="str">
        <f t="shared" si="6"/>
        <v>Medium</v>
      </c>
      <c r="M49" s="70" t="str">
        <f t="shared" si="7"/>
        <v>2B</v>
      </c>
    </row>
    <row r="50" spans="1:13" x14ac:dyDescent="0.25">
      <c r="A50" s="76">
        <v>10825</v>
      </c>
      <c r="B50" s="12" t="s">
        <v>254</v>
      </c>
      <c r="C50" s="67" t="str">
        <f>_xlfn.XLOOKUP(A50,Table8[Employee Number],Table8[Joining Date],"")</f>
        <v>16/12/2020</v>
      </c>
      <c r="D50" s="12" t="s">
        <v>586</v>
      </c>
      <c r="E50" s="12" t="s">
        <v>561</v>
      </c>
      <c r="F50" s="12" t="s">
        <v>249</v>
      </c>
      <c r="G50" s="12" t="s">
        <v>250</v>
      </c>
      <c r="H50" s="65">
        <f t="shared" si="4"/>
        <v>1.65</v>
      </c>
      <c r="I50" s="65">
        <v>0</v>
      </c>
      <c r="J50" s="65">
        <v>3.3</v>
      </c>
      <c r="K50" s="65" t="str">
        <f t="shared" si="5"/>
        <v>Poor</v>
      </c>
      <c r="L50" s="12" t="str">
        <f t="shared" si="6"/>
        <v>Medium</v>
      </c>
      <c r="M50" s="70" t="str">
        <f t="shared" si="7"/>
        <v>2A</v>
      </c>
    </row>
    <row r="51" spans="1:13" x14ac:dyDescent="0.25">
      <c r="A51" s="76">
        <v>30967</v>
      </c>
      <c r="B51" s="12" t="s">
        <v>118</v>
      </c>
      <c r="C51" s="67" t="str">
        <f>_xlfn.XLOOKUP(A51,Table8[Employee Number],Table8[Joining Date],"")</f>
        <v>06/03/2022</v>
      </c>
      <c r="D51" s="12" t="s">
        <v>585</v>
      </c>
      <c r="E51" s="12" t="s">
        <v>556</v>
      </c>
      <c r="F51" s="12" t="s">
        <v>120</v>
      </c>
      <c r="G51" s="12" t="s">
        <v>121</v>
      </c>
      <c r="H51" s="65">
        <f t="shared" si="4"/>
        <v>4.75</v>
      </c>
      <c r="I51" s="65">
        <v>5</v>
      </c>
      <c r="J51" s="65">
        <v>4.5</v>
      </c>
      <c r="K51" s="65" t="str">
        <f t="shared" si="5"/>
        <v>High</v>
      </c>
      <c r="L51" s="12" t="str">
        <f t="shared" si="6"/>
        <v>High</v>
      </c>
      <c r="M51" s="70" t="str">
        <f t="shared" si="7"/>
        <v>3C</v>
      </c>
    </row>
    <row r="52" spans="1:13" x14ac:dyDescent="0.25">
      <c r="A52" s="76">
        <v>31248</v>
      </c>
      <c r="B52" s="12" t="s">
        <v>219</v>
      </c>
      <c r="C52" s="67" t="str">
        <f>_xlfn.XLOOKUP(A52,Table8[Employee Number],Table8[Joining Date],"")</f>
        <v>23/05/2021</v>
      </c>
      <c r="D52" s="12" t="s">
        <v>585</v>
      </c>
      <c r="E52" s="12" t="s">
        <v>561</v>
      </c>
      <c r="F52" s="12" t="s">
        <v>221</v>
      </c>
      <c r="G52" s="12" t="s">
        <v>196</v>
      </c>
      <c r="H52" s="65">
        <f t="shared" si="4"/>
        <v>3.25</v>
      </c>
      <c r="I52" s="65">
        <v>3.2</v>
      </c>
      <c r="J52" s="65">
        <v>3.3</v>
      </c>
      <c r="K52" s="65" t="str">
        <f t="shared" si="5"/>
        <v>Poor</v>
      </c>
      <c r="L52" s="12" t="str">
        <f t="shared" si="6"/>
        <v>Medium</v>
      </c>
      <c r="M52" s="70" t="str">
        <f t="shared" si="7"/>
        <v>2A</v>
      </c>
    </row>
    <row r="53" spans="1:13" x14ac:dyDescent="0.25">
      <c r="A53" s="76">
        <v>10305</v>
      </c>
      <c r="B53" s="12" t="s">
        <v>339</v>
      </c>
      <c r="C53" s="67" t="str">
        <f>_xlfn.XLOOKUP(A53,Table8[Employee Number],Table8[Joining Date],"")</f>
        <v>11/11/2020</v>
      </c>
      <c r="D53" s="12" t="s">
        <v>586</v>
      </c>
      <c r="E53" s="12" t="s">
        <v>558</v>
      </c>
      <c r="F53" s="12" t="s">
        <v>315</v>
      </c>
      <c r="G53" s="12" t="s">
        <v>316</v>
      </c>
      <c r="H53" s="65">
        <f t="shared" si="4"/>
        <v>3.75</v>
      </c>
      <c r="I53" s="65">
        <v>3.8</v>
      </c>
      <c r="J53" s="65">
        <v>3.7</v>
      </c>
      <c r="K53" s="65" t="str">
        <f t="shared" si="5"/>
        <v>Average</v>
      </c>
      <c r="L53" s="12" t="str">
        <f t="shared" si="6"/>
        <v>Medium</v>
      </c>
      <c r="M53" s="70" t="str">
        <f t="shared" si="7"/>
        <v>2B</v>
      </c>
    </row>
    <row r="54" spans="1:13" x14ac:dyDescent="0.25">
      <c r="A54" s="76">
        <v>6592</v>
      </c>
      <c r="B54" s="12" t="s">
        <v>203</v>
      </c>
      <c r="C54" s="67" t="str">
        <f>_xlfn.XLOOKUP(A54,Table8[Employee Number],Table8[Joining Date],"")</f>
        <v>01/06/2022</v>
      </c>
      <c r="D54" s="12" t="s">
        <v>587</v>
      </c>
      <c r="E54" s="12" t="s">
        <v>561</v>
      </c>
      <c r="F54" s="12" t="s">
        <v>204</v>
      </c>
      <c r="G54" s="12" t="s">
        <v>238</v>
      </c>
      <c r="H54" s="65">
        <f t="shared" si="4"/>
        <v>2.15</v>
      </c>
      <c r="I54" s="65">
        <v>0</v>
      </c>
      <c r="J54" s="65">
        <v>4.3</v>
      </c>
      <c r="K54" s="65" t="str">
        <f t="shared" si="5"/>
        <v>Poor</v>
      </c>
      <c r="L54" s="12" t="str">
        <f t="shared" si="6"/>
        <v>Medium</v>
      </c>
      <c r="M54" s="70" t="str">
        <f t="shared" si="7"/>
        <v>2A</v>
      </c>
    </row>
    <row r="55" spans="1:13" x14ac:dyDescent="0.25">
      <c r="A55" s="76">
        <v>10323</v>
      </c>
      <c r="B55" s="12" t="s">
        <v>85</v>
      </c>
      <c r="C55" s="67" t="str">
        <f>_xlfn.XLOOKUP(A55,Table8[Employee Number],Table8[Joining Date],"")</f>
        <v>07/02/2021</v>
      </c>
      <c r="D55" s="12" t="s">
        <v>586</v>
      </c>
      <c r="E55" s="12" t="s">
        <v>559</v>
      </c>
      <c r="F55" s="12" t="s">
        <v>87</v>
      </c>
      <c r="G55" s="12" t="s">
        <v>88</v>
      </c>
      <c r="H55" s="65">
        <f t="shared" si="4"/>
        <v>4.1500000000000004</v>
      </c>
      <c r="I55" s="65">
        <v>4.0999999999999996</v>
      </c>
      <c r="J55" s="65">
        <v>4.2</v>
      </c>
      <c r="K55" s="65" t="str">
        <f t="shared" si="5"/>
        <v>Average</v>
      </c>
      <c r="L55" s="12" t="str">
        <f t="shared" si="6"/>
        <v>Medium</v>
      </c>
      <c r="M55" s="70" t="str">
        <f t="shared" si="7"/>
        <v>2B</v>
      </c>
    </row>
    <row r="56" spans="1:13" x14ac:dyDescent="0.25">
      <c r="A56" s="76">
        <v>47873</v>
      </c>
      <c r="B56" s="12" t="s">
        <v>117</v>
      </c>
      <c r="C56" s="67" t="str">
        <f>_xlfn.XLOOKUP(A56,Table8[Employee Number],Table8[Joining Date],"")</f>
        <v>01/09/2023</v>
      </c>
      <c r="D56" s="12" t="s">
        <v>586</v>
      </c>
      <c r="E56" s="12" t="s">
        <v>556</v>
      </c>
      <c r="F56" s="12" t="s">
        <v>410</v>
      </c>
      <c r="G56" s="12" t="s">
        <v>563</v>
      </c>
      <c r="H56" s="65">
        <f t="shared" si="4"/>
        <v>2.15</v>
      </c>
      <c r="I56" s="65">
        <v>0</v>
      </c>
      <c r="J56" s="65">
        <v>4.3</v>
      </c>
      <c r="K56" s="65" t="str">
        <f t="shared" si="5"/>
        <v>Poor</v>
      </c>
      <c r="L56" s="12" t="str">
        <f t="shared" si="6"/>
        <v>Medium</v>
      </c>
      <c r="M56" s="70" t="str">
        <f t="shared" si="7"/>
        <v>2A</v>
      </c>
    </row>
    <row r="57" spans="1:13" x14ac:dyDescent="0.25">
      <c r="A57" s="76">
        <v>10837</v>
      </c>
      <c r="B57" s="12" t="s">
        <v>458</v>
      </c>
      <c r="C57" s="67" t="str">
        <f>_xlfn.XLOOKUP(A57,Table8[Employee Number],Table8[Joining Date],"")</f>
        <v>28/02/2021</v>
      </c>
      <c r="D57" s="12" t="s">
        <v>586</v>
      </c>
      <c r="E57" s="12" t="s">
        <v>564</v>
      </c>
      <c r="F57" s="12" t="s">
        <v>460</v>
      </c>
      <c r="G57" s="12" t="s">
        <v>386</v>
      </c>
      <c r="H57" s="65">
        <f t="shared" si="4"/>
        <v>4.1999999999999993</v>
      </c>
      <c r="I57" s="65">
        <v>4.0999999999999996</v>
      </c>
      <c r="J57" s="65">
        <v>4.3</v>
      </c>
      <c r="K57" s="65" t="str">
        <f t="shared" si="5"/>
        <v>Average</v>
      </c>
      <c r="L57" s="12" t="str">
        <f t="shared" si="6"/>
        <v>Medium</v>
      </c>
      <c r="M57" s="70" t="str">
        <f t="shared" si="7"/>
        <v>2B</v>
      </c>
    </row>
    <row r="58" spans="1:13" x14ac:dyDescent="0.25">
      <c r="A58" s="76">
        <v>5851</v>
      </c>
      <c r="B58" s="12" t="s">
        <v>266</v>
      </c>
      <c r="C58" s="67" t="str">
        <f>_xlfn.XLOOKUP(A58,Table8[Employee Number],Table8[Joining Date],"")</f>
        <v>06/12/2020</v>
      </c>
      <c r="D58" s="12" t="s">
        <v>586</v>
      </c>
      <c r="E58" s="12" t="s">
        <v>565</v>
      </c>
      <c r="F58" s="12" t="s">
        <v>447</v>
      </c>
      <c r="G58" s="12" t="s">
        <v>386</v>
      </c>
      <c r="H58" s="65">
        <f t="shared" si="4"/>
        <v>3.75</v>
      </c>
      <c r="I58" s="65">
        <v>4</v>
      </c>
      <c r="J58" s="65">
        <v>3.5</v>
      </c>
      <c r="K58" s="65" t="str">
        <f t="shared" si="5"/>
        <v>Average</v>
      </c>
      <c r="L58" s="12" t="str">
        <f t="shared" si="6"/>
        <v>Medium</v>
      </c>
      <c r="M58" s="70" t="str">
        <f t="shared" si="7"/>
        <v>2B</v>
      </c>
    </row>
    <row r="59" spans="1:13" x14ac:dyDescent="0.25">
      <c r="A59" s="76">
        <v>47610</v>
      </c>
      <c r="B59" s="12" t="s">
        <v>341</v>
      </c>
      <c r="C59" s="67" t="str">
        <f>_xlfn.XLOOKUP(A59,Table8[Employee Number],Table8[Joining Date],"")</f>
        <v>12/06/2023</v>
      </c>
      <c r="D59" s="12" t="s">
        <v>586</v>
      </c>
      <c r="E59" s="12" t="s">
        <v>558</v>
      </c>
      <c r="F59" s="12" t="s">
        <v>332</v>
      </c>
      <c r="G59" s="12" t="s">
        <v>333</v>
      </c>
      <c r="H59" s="65">
        <f t="shared" si="4"/>
        <v>3.9</v>
      </c>
      <c r="I59" s="65">
        <v>3.8</v>
      </c>
      <c r="J59" s="65">
        <v>4</v>
      </c>
      <c r="K59" s="65" t="str">
        <f t="shared" si="5"/>
        <v>Average</v>
      </c>
      <c r="L59" s="12" t="str">
        <f t="shared" si="6"/>
        <v>Medium</v>
      </c>
      <c r="M59" s="70" t="str">
        <f t="shared" si="7"/>
        <v>2B</v>
      </c>
    </row>
    <row r="60" spans="1:13" x14ac:dyDescent="0.25">
      <c r="A60" s="76">
        <v>47624</v>
      </c>
      <c r="B60" s="12" t="s">
        <v>147</v>
      </c>
      <c r="C60" s="67" t="str">
        <f>_xlfn.XLOOKUP(A60,Table8[Employee Number],Table8[Joining Date],"")</f>
        <v>12/06/2023</v>
      </c>
      <c r="D60" s="12" t="s">
        <v>586</v>
      </c>
      <c r="E60" s="12" t="s">
        <v>556</v>
      </c>
      <c r="F60" s="12" t="s">
        <v>408</v>
      </c>
      <c r="G60" s="12" t="s">
        <v>117</v>
      </c>
      <c r="H60" s="65">
        <f t="shared" si="4"/>
        <v>2.25</v>
      </c>
      <c r="I60" s="65">
        <v>0</v>
      </c>
      <c r="J60" s="65">
        <v>4.5</v>
      </c>
      <c r="K60" s="65" t="str">
        <f t="shared" si="5"/>
        <v>Poor</v>
      </c>
      <c r="L60" s="12" t="str">
        <f t="shared" si="6"/>
        <v>High</v>
      </c>
      <c r="M60" s="70" t="str">
        <f t="shared" si="7"/>
        <v>3A</v>
      </c>
    </row>
    <row r="61" spans="1:13" x14ac:dyDescent="0.25">
      <c r="A61" s="76">
        <v>10313</v>
      </c>
      <c r="B61" s="12" t="s">
        <v>164</v>
      </c>
      <c r="C61" s="67" t="str">
        <f>_xlfn.XLOOKUP(A61,Table8[Employee Number],Table8[Joining Date],"")</f>
        <v>25/11/2020</v>
      </c>
      <c r="D61" s="12" t="s">
        <v>586</v>
      </c>
      <c r="E61" s="12" t="s">
        <v>556</v>
      </c>
      <c r="F61" s="12" t="s">
        <v>166</v>
      </c>
      <c r="G61" s="12" t="s">
        <v>117</v>
      </c>
      <c r="H61" s="65">
        <f t="shared" si="4"/>
        <v>3.7</v>
      </c>
      <c r="I61" s="65">
        <v>3.7</v>
      </c>
      <c r="J61" s="65">
        <v>3.7</v>
      </c>
      <c r="K61" s="65" t="str">
        <f t="shared" si="5"/>
        <v>Average</v>
      </c>
      <c r="L61" s="12" t="str">
        <f t="shared" si="6"/>
        <v>Medium</v>
      </c>
      <c r="M61" s="70" t="str">
        <f t="shared" si="7"/>
        <v>2B</v>
      </c>
    </row>
    <row r="62" spans="1:13" x14ac:dyDescent="0.25">
      <c r="A62" s="76">
        <v>10867</v>
      </c>
      <c r="B62" s="12" t="s">
        <v>243</v>
      </c>
      <c r="C62" s="67" t="str">
        <f>_xlfn.XLOOKUP(A62,Table8[Employee Number],Table8[Joining Date],"")</f>
        <v>23/02/2022</v>
      </c>
      <c r="D62" s="12" t="s">
        <v>586</v>
      </c>
      <c r="E62" s="12" t="s">
        <v>561</v>
      </c>
      <c r="F62" s="12" t="s">
        <v>435</v>
      </c>
      <c r="G62" s="12" t="s">
        <v>382</v>
      </c>
      <c r="H62" s="65">
        <f t="shared" si="4"/>
        <v>3.75</v>
      </c>
      <c r="I62" s="65">
        <v>4</v>
      </c>
      <c r="J62" s="65">
        <v>3.5</v>
      </c>
      <c r="K62" s="65" t="str">
        <f t="shared" si="5"/>
        <v>Average</v>
      </c>
      <c r="L62" s="12" t="str">
        <f t="shared" si="6"/>
        <v>Medium</v>
      </c>
      <c r="M62" s="70" t="str">
        <f t="shared" si="7"/>
        <v>2B</v>
      </c>
    </row>
    <row r="63" spans="1:13" x14ac:dyDescent="0.25">
      <c r="A63" s="76">
        <v>31245</v>
      </c>
      <c r="B63" s="12" t="s">
        <v>107</v>
      </c>
      <c r="C63" s="67" t="str">
        <f>_xlfn.XLOOKUP(A63,Table8[Employee Number],Table8[Joining Date],"")</f>
        <v>16/03/2021</v>
      </c>
      <c r="D63" s="12" t="s">
        <v>585</v>
      </c>
      <c r="E63" s="12" t="s">
        <v>556</v>
      </c>
      <c r="F63" s="12" t="s">
        <v>120</v>
      </c>
      <c r="G63" s="12" t="s">
        <v>121</v>
      </c>
      <c r="H63" s="65">
        <f t="shared" si="4"/>
        <v>4.45</v>
      </c>
      <c r="I63" s="65">
        <v>4.4000000000000004</v>
      </c>
      <c r="J63" s="65">
        <v>4.5</v>
      </c>
      <c r="K63" s="65" t="str">
        <f t="shared" si="5"/>
        <v>High</v>
      </c>
      <c r="L63" s="12" t="str">
        <f t="shared" si="6"/>
        <v>High</v>
      </c>
      <c r="M63" s="70" t="str">
        <f t="shared" si="7"/>
        <v>3C</v>
      </c>
    </row>
    <row r="64" spans="1:13" x14ac:dyDescent="0.25">
      <c r="A64" s="76">
        <v>2069</v>
      </c>
      <c r="B64" s="12" t="s">
        <v>100</v>
      </c>
      <c r="C64" s="67" t="str">
        <f>_xlfn.XLOOKUP(A64,Table8[Employee Number],Table8[Joining Date],"")</f>
        <v>01/01/2021</v>
      </c>
      <c r="D64" s="12" t="s">
        <v>586</v>
      </c>
      <c r="E64" s="12" t="s">
        <v>556</v>
      </c>
      <c r="F64" s="12" t="s">
        <v>400</v>
      </c>
      <c r="G64" s="12" t="s">
        <v>121</v>
      </c>
      <c r="H64" s="65">
        <f t="shared" si="4"/>
        <v>5</v>
      </c>
      <c r="I64" s="65">
        <v>5</v>
      </c>
      <c r="J64" s="65">
        <v>5</v>
      </c>
      <c r="K64" s="65" t="str">
        <f t="shared" si="5"/>
        <v>High</v>
      </c>
      <c r="L64" s="12" t="str">
        <f t="shared" si="6"/>
        <v>High</v>
      </c>
      <c r="M64" s="70" t="str">
        <f t="shared" si="7"/>
        <v>3C</v>
      </c>
    </row>
    <row r="65" spans="1:13" x14ac:dyDescent="0.25">
      <c r="A65" s="76">
        <v>10307</v>
      </c>
      <c r="B65" s="12" t="s">
        <v>283</v>
      </c>
      <c r="C65" s="67" t="str">
        <f>_xlfn.XLOOKUP(A65,Table8[Employee Number],Table8[Joining Date],"")</f>
        <v>15/11/2020</v>
      </c>
      <c r="D65" s="12" t="s">
        <v>586</v>
      </c>
      <c r="E65" s="12" t="s">
        <v>557</v>
      </c>
      <c r="F65" s="12" t="s">
        <v>452</v>
      </c>
      <c r="G65" s="12" t="s">
        <v>386</v>
      </c>
      <c r="H65" s="65">
        <f t="shared" si="4"/>
        <v>3.95</v>
      </c>
      <c r="I65" s="65">
        <v>4.2</v>
      </c>
      <c r="J65" s="65">
        <v>3.7</v>
      </c>
      <c r="K65" s="65" t="str">
        <f t="shared" si="5"/>
        <v>Average</v>
      </c>
      <c r="L65" s="12" t="str">
        <f t="shared" si="6"/>
        <v>Medium</v>
      </c>
      <c r="M65" s="70" t="str">
        <f t="shared" si="7"/>
        <v>2B</v>
      </c>
    </row>
    <row r="66" spans="1:13" x14ac:dyDescent="0.25">
      <c r="A66" s="76">
        <v>47722</v>
      </c>
      <c r="B66" s="12" t="s">
        <v>49</v>
      </c>
      <c r="C66" s="67" t="str">
        <f>_xlfn.XLOOKUP(A66,Table8[Employee Number],Table8[Joining Date],"")</f>
        <v>01/06/2023</v>
      </c>
      <c r="D66" s="12" t="s">
        <v>587</v>
      </c>
      <c r="E66" s="12" t="s">
        <v>559</v>
      </c>
      <c r="F66" s="12" t="s">
        <v>51</v>
      </c>
      <c r="G66" s="12" t="s">
        <v>52</v>
      </c>
      <c r="H66" s="65">
        <f t="shared" si="4"/>
        <v>3.4</v>
      </c>
      <c r="I66" s="65">
        <v>3.3</v>
      </c>
      <c r="J66" s="65">
        <v>3.5</v>
      </c>
      <c r="K66" s="65" t="str">
        <f t="shared" si="5"/>
        <v>Average</v>
      </c>
      <c r="L66" s="12" t="str">
        <f t="shared" si="6"/>
        <v>Medium</v>
      </c>
      <c r="M66" s="70" t="str">
        <f t="shared" si="7"/>
        <v>2B</v>
      </c>
    </row>
    <row r="67" spans="1:13" x14ac:dyDescent="0.25">
      <c r="A67" s="76">
        <v>6573</v>
      </c>
      <c r="B67" s="12" t="s">
        <v>62</v>
      </c>
      <c r="C67" s="67" t="str">
        <f>_xlfn.XLOOKUP(A67,Table8[Employee Number],Table8[Joining Date],"")</f>
        <v>01/06/2022</v>
      </c>
      <c r="D67" s="12" t="s">
        <v>587</v>
      </c>
      <c r="E67" s="12" t="s">
        <v>559</v>
      </c>
      <c r="F67" s="12" t="s">
        <v>54</v>
      </c>
      <c r="G67" s="12" t="s">
        <v>55</v>
      </c>
      <c r="H67" s="65">
        <f t="shared" si="4"/>
        <v>4.1500000000000004</v>
      </c>
      <c r="I67" s="65">
        <v>4.3</v>
      </c>
      <c r="J67" s="65">
        <v>4</v>
      </c>
      <c r="K67" s="65" t="str">
        <f t="shared" si="5"/>
        <v>Average</v>
      </c>
      <c r="L67" s="12" t="str">
        <f t="shared" si="6"/>
        <v>Medium</v>
      </c>
      <c r="M67" s="70" t="str">
        <f t="shared" si="7"/>
        <v>2B</v>
      </c>
    </row>
    <row r="68" spans="1:13" x14ac:dyDescent="0.25">
      <c r="A68" s="76">
        <v>6549</v>
      </c>
      <c r="B68" s="12" t="s">
        <v>55</v>
      </c>
      <c r="C68" s="67" t="str">
        <f>_xlfn.XLOOKUP(A68,Table8[Employee Number],Table8[Joining Date],"")</f>
        <v>01/06/2022</v>
      </c>
      <c r="D68" s="12" t="s">
        <v>587</v>
      </c>
      <c r="E68" s="12" t="s">
        <v>559</v>
      </c>
      <c r="F68" s="12" t="s">
        <v>390</v>
      </c>
      <c r="G68" s="12" t="s">
        <v>65</v>
      </c>
      <c r="H68" s="65">
        <f t="shared" si="4"/>
        <v>4.1500000000000004</v>
      </c>
      <c r="I68" s="65">
        <v>4</v>
      </c>
      <c r="J68" s="65">
        <v>4.3</v>
      </c>
      <c r="K68" s="65" t="str">
        <f t="shared" si="5"/>
        <v>Average</v>
      </c>
      <c r="L68" s="12" t="str">
        <f t="shared" si="6"/>
        <v>Medium</v>
      </c>
      <c r="M68" s="70" t="str">
        <f t="shared" si="7"/>
        <v>2B</v>
      </c>
    </row>
    <row r="69" spans="1:13" x14ac:dyDescent="0.25">
      <c r="A69" s="76">
        <v>31250</v>
      </c>
      <c r="B69" s="12" t="s">
        <v>196</v>
      </c>
      <c r="C69" s="67" t="str">
        <f>_xlfn.XLOOKUP(A69,Table8[Employee Number],Table8[Joining Date],"")</f>
        <v>22/06/2021</v>
      </c>
      <c r="D69" s="12" t="s">
        <v>585</v>
      </c>
      <c r="E69" s="12" t="s">
        <v>561</v>
      </c>
      <c r="F69" s="12" t="s">
        <v>230</v>
      </c>
      <c r="G69" s="12" t="s">
        <v>225</v>
      </c>
      <c r="H69" s="65">
        <f t="shared" si="4"/>
        <v>3.3</v>
      </c>
      <c r="I69" s="65">
        <v>3.3</v>
      </c>
      <c r="J69" s="65">
        <v>3.3</v>
      </c>
      <c r="K69" s="65" t="str">
        <f t="shared" si="5"/>
        <v>Poor</v>
      </c>
      <c r="L69" s="12" t="str">
        <f t="shared" si="6"/>
        <v>Medium</v>
      </c>
      <c r="M69" s="70" t="str">
        <f t="shared" si="7"/>
        <v>2A</v>
      </c>
    </row>
    <row r="70" spans="1:13" x14ac:dyDescent="0.25">
      <c r="A70" s="76">
        <v>10869</v>
      </c>
      <c r="B70" s="12" t="s">
        <v>343</v>
      </c>
      <c r="C70" s="67" t="str">
        <f>_xlfn.XLOOKUP(A70,Table8[Employee Number],Table8[Joining Date],"")</f>
        <v>03/03/2022</v>
      </c>
      <c r="D70" s="12" t="s">
        <v>586</v>
      </c>
      <c r="E70" s="12" t="s">
        <v>558</v>
      </c>
      <c r="F70" s="12" t="s">
        <v>327</v>
      </c>
      <c r="G70" s="12" t="s">
        <v>316</v>
      </c>
      <c r="H70" s="65">
        <f t="shared" si="4"/>
        <v>4.7</v>
      </c>
      <c r="I70" s="65">
        <v>4.7</v>
      </c>
      <c r="J70" s="65">
        <v>4.7</v>
      </c>
      <c r="K70" s="65" t="str">
        <f t="shared" si="5"/>
        <v>High</v>
      </c>
      <c r="L70" s="12" t="str">
        <f t="shared" si="6"/>
        <v>High</v>
      </c>
      <c r="M70" s="70" t="str">
        <f t="shared" si="7"/>
        <v>3C</v>
      </c>
    </row>
    <row r="71" spans="1:13" x14ac:dyDescent="0.25">
      <c r="A71" s="76">
        <v>10833</v>
      </c>
      <c r="B71" s="12" t="s">
        <v>345</v>
      </c>
      <c r="C71" s="67" t="str">
        <f>_xlfn.XLOOKUP(A71,Table8[Employee Number],Table8[Joining Date],"")</f>
        <v>22/02/2021</v>
      </c>
      <c r="D71" s="12" t="s">
        <v>586</v>
      </c>
      <c r="E71" s="12" t="s">
        <v>558</v>
      </c>
      <c r="F71" s="12" t="s">
        <v>315</v>
      </c>
      <c r="G71" s="12" t="s">
        <v>316</v>
      </c>
      <c r="H71" s="65">
        <f t="shared" si="4"/>
        <v>4.5</v>
      </c>
      <c r="I71" s="65">
        <v>4.3</v>
      </c>
      <c r="J71" s="65">
        <v>4.7</v>
      </c>
      <c r="K71" s="65" t="str">
        <f t="shared" si="5"/>
        <v>High</v>
      </c>
      <c r="L71" s="12" t="str">
        <f t="shared" si="6"/>
        <v>High</v>
      </c>
      <c r="M71" s="70" t="str">
        <f t="shared" si="7"/>
        <v>3C</v>
      </c>
    </row>
    <row r="72" spans="1:13" x14ac:dyDescent="0.25">
      <c r="A72" s="76">
        <v>10839</v>
      </c>
      <c r="B72" s="12" t="s">
        <v>347</v>
      </c>
      <c r="C72" s="67" t="str">
        <f>_xlfn.XLOOKUP(A72,Table8[Employee Number],Table8[Joining Date],"")</f>
        <v>17/03/2021</v>
      </c>
      <c r="D72" s="12" t="s">
        <v>586</v>
      </c>
      <c r="E72" s="12" t="s">
        <v>558</v>
      </c>
      <c r="F72" s="12" t="s">
        <v>315</v>
      </c>
      <c r="G72" s="12" t="s">
        <v>316</v>
      </c>
      <c r="H72" s="65">
        <f t="shared" si="4"/>
        <v>4.2</v>
      </c>
      <c r="I72" s="65">
        <v>4.2</v>
      </c>
      <c r="J72" s="65">
        <v>4.2</v>
      </c>
      <c r="K72" s="65" t="str">
        <f t="shared" si="5"/>
        <v>Average</v>
      </c>
      <c r="L72" s="12" t="str">
        <f t="shared" si="6"/>
        <v>Medium</v>
      </c>
      <c r="M72" s="70" t="str">
        <f t="shared" si="7"/>
        <v>2B</v>
      </c>
    </row>
    <row r="73" spans="1:13" x14ac:dyDescent="0.25">
      <c r="A73" s="76">
        <v>10317</v>
      </c>
      <c r="B73" s="12" t="s">
        <v>349</v>
      </c>
      <c r="C73" s="67" t="str">
        <f>_xlfn.XLOOKUP(A73,Table8[Employee Number],Table8[Joining Date],"")</f>
        <v>23/12/2020</v>
      </c>
      <c r="D73" s="12" t="s">
        <v>586</v>
      </c>
      <c r="E73" s="12" t="s">
        <v>558</v>
      </c>
      <c r="F73" s="12" t="s">
        <v>350</v>
      </c>
      <c r="G73" s="12" t="s">
        <v>316</v>
      </c>
      <c r="H73" s="65">
        <f t="shared" si="4"/>
        <v>2.2000000000000002</v>
      </c>
      <c r="I73" s="65">
        <v>2.1</v>
      </c>
      <c r="J73" s="65">
        <v>2.2999999999999998</v>
      </c>
      <c r="K73" s="65" t="str">
        <f t="shared" si="5"/>
        <v>Poor</v>
      </c>
      <c r="L73" s="12" t="str">
        <f t="shared" si="6"/>
        <v>Low</v>
      </c>
      <c r="M73" s="70" t="str">
        <f t="shared" si="7"/>
        <v>1A</v>
      </c>
    </row>
    <row r="74" spans="1:13" x14ac:dyDescent="0.25">
      <c r="A74" s="76">
        <v>47721</v>
      </c>
      <c r="B74" s="12" t="s">
        <v>72</v>
      </c>
      <c r="C74" s="67" t="str">
        <f>_xlfn.XLOOKUP(A74,Table8[Employee Number],Table8[Joining Date],"")</f>
        <v>01/06/2023</v>
      </c>
      <c r="D74" s="12" t="s">
        <v>587</v>
      </c>
      <c r="E74" s="12" t="s">
        <v>559</v>
      </c>
      <c r="F74" s="12" t="s">
        <v>391</v>
      </c>
      <c r="G74" s="12" t="s">
        <v>55</v>
      </c>
      <c r="H74" s="65">
        <f t="shared" si="4"/>
        <v>4.1500000000000004</v>
      </c>
      <c r="I74" s="65">
        <v>4.3</v>
      </c>
      <c r="J74" s="65">
        <v>4</v>
      </c>
      <c r="K74" s="65" t="str">
        <f t="shared" si="5"/>
        <v>Average</v>
      </c>
      <c r="L74" s="12" t="str">
        <f t="shared" si="6"/>
        <v>Medium</v>
      </c>
      <c r="M74" s="70" t="str">
        <f t="shared" si="7"/>
        <v>2B</v>
      </c>
    </row>
    <row r="75" spans="1:13" x14ac:dyDescent="0.25">
      <c r="A75" s="76">
        <v>6599</v>
      </c>
      <c r="B75" s="12" t="s">
        <v>309</v>
      </c>
      <c r="C75" s="67" t="str">
        <f>_xlfn.XLOOKUP(A75,Table8[Employee Number],Table8[Joining Date],"")</f>
        <v>01/06/2022</v>
      </c>
      <c r="D75" s="12" t="s">
        <v>587</v>
      </c>
      <c r="E75" s="12" t="s">
        <v>566</v>
      </c>
      <c r="F75" s="12" t="s">
        <v>310</v>
      </c>
      <c r="G75" s="12" t="s">
        <v>308</v>
      </c>
      <c r="H75" s="65">
        <f t="shared" ref="H75:H77" si="8">AVERAGE(I75,J75)</f>
        <v>2</v>
      </c>
      <c r="I75" s="65">
        <v>0</v>
      </c>
      <c r="J75" s="65">
        <v>4</v>
      </c>
      <c r="K75" s="65" t="str">
        <f t="shared" ref="K75:K106" si="9">IF(H75="","",
IF(OR(H75="NR",H75="NA"),"NA",
IF(H75&lt;$I$3,"Poor",
IF(H75&lt;$I$4,"Average","High")
)))</f>
        <v>Poor</v>
      </c>
      <c r="L75" s="12" t="str">
        <f t="shared" ref="L75:L106" si="10">IF(J75="","",
IF(OR(J75="NR",J75="NA"),"NA",
IF(J75&lt;$L$3,"Low",
IF(J75&lt;$L$4,"Medium","High")
)))</f>
        <v>Medium</v>
      </c>
      <c r="M75" s="70" t="str">
        <f t="shared" ref="M75:M106" si="11">IF(OR(K75="",L75=""),"",
IF(AND(K75=$H$5,L75=$K$5),"3C",
IF(AND(K75=$H$4,L75=$K$5),"3B",
IF(AND(K75=$H$3,L75=$K$5),"3A",
IF(AND(K75=$H$5,L75=$K$4),"2C",
IF(AND(K75=$H$4,L75=$K$4),"2B",
IF(AND(K75=$H$3,L75=$K$4),"2A",
IF(AND(K75=$H$5,L75=$K$3),"1C",
IF(AND(K75=$H$4,L75=$K$3),"1B",
IF(AND(K75=$H$3,L75=$K$3),"1A","")
)))))))))</f>
        <v>2A</v>
      </c>
    </row>
    <row r="76" spans="1:13" x14ac:dyDescent="0.25">
      <c r="A76" s="76">
        <v>10850</v>
      </c>
      <c r="B76" s="12" t="s">
        <v>428</v>
      </c>
      <c r="C76" s="67" t="str">
        <f>_xlfn.XLOOKUP(A76,Table8[Employee Number],Table8[Joining Date],"")</f>
        <v>01/06/2021</v>
      </c>
      <c r="D76" s="12" t="s">
        <v>586</v>
      </c>
      <c r="E76" s="12" t="s">
        <v>561</v>
      </c>
      <c r="F76" s="12" t="s">
        <v>233</v>
      </c>
      <c r="G76" s="12" t="s">
        <v>250</v>
      </c>
      <c r="H76" s="65">
        <f t="shared" si="8"/>
        <v>1.6</v>
      </c>
      <c r="I76" s="65">
        <v>0</v>
      </c>
      <c r="J76" s="65">
        <v>3.2</v>
      </c>
      <c r="K76" s="65" t="str">
        <f t="shared" si="9"/>
        <v>Poor</v>
      </c>
      <c r="L76" s="12" t="str">
        <f t="shared" si="10"/>
        <v>Medium</v>
      </c>
      <c r="M76" s="70" t="str">
        <f t="shared" si="11"/>
        <v>2A</v>
      </c>
    </row>
    <row r="77" spans="1:13" x14ac:dyDescent="0.25">
      <c r="A77" s="76">
        <v>10823</v>
      </c>
      <c r="B77" s="12" t="s">
        <v>430</v>
      </c>
      <c r="C77" s="67" t="str">
        <f>_xlfn.XLOOKUP(A77,Table8[Employee Number],Table8[Joining Date],"")</f>
        <v>13/12/2020</v>
      </c>
      <c r="D77" s="12" t="s">
        <v>586</v>
      </c>
      <c r="E77" s="12" t="s">
        <v>561</v>
      </c>
      <c r="F77" s="12" t="s">
        <v>249</v>
      </c>
      <c r="G77" s="12" t="s">
        <v>250</v>
      </c>
      <c r="H77" s="65">
        <f t="shared" si="8"/>
        <v>3.3</v>
      </c>
      <c r="I77" s="65">
        <v>3.6</v>
      </c>
      <c r="J77" s="65">
        <v>3</v>
      </c>
      <c r="K77" s="65" t="str">
        <f t="shared" si="9"/>
        <v>Poor</v>
      </c>
      <c r="L77" s="12" t="str">
        <f t="shared" si="10"/>
        <v>Medium</v>
      </c>
      <c r="M77" s="70" t="str">
        <f t="shared" si="11"/>
        <v>2A</v>
      </c>
    </row>
    <row r="78" spans="1:13" x14ac:dyDescent="0.25">
      <c r="A78" s="76">
        <v>5836</v>
      </c>
      <c r="B78" s="12" t="s">
        <v>382</v>
      </c>
      <c r="C78" s="67" t="str">
        <f>_xlfn.XLOOKUP(A78,Table8[Employee Number],Table8[Joining Date],"")</f>
        <v>14/09/2020</v>
      </c>
      <c r="D78" s="12" t="s">
        <v>586</v>
      </c>
      <c r="E78" s="12" t="s">
        <v>567</v>
      </c>
      <c r="F78" s="12" t="s">
        <v>422</v>
      </c>
      <c r="G78" s="12" t="s">
        <v>151</v>
      </c>
      <c r="H78" s="65" t="s">
        <v>19</v>
      </c>
      <c r="I78" s="65" t="s">
        <v>19</v>
      </c>
      <c r="J78" s="65" t="s">
        <v>19</v>
      </c>
      <c r="K78" s="65" t="str">
        <f t="shared" si="9"/>
        <v>NA</v>
      </c>
      <c r="L78" s="12" t="str">
        <f t="shared" si="10"/>
        <v>NA</v>
      </c>
      <c r="M78" s="70" t="str">
        <f t="shared" si="11"/>
        <v/>
      </c>
    </row>
    <row r="79" spans="1:13" x14ac:dyDescent="0.25">
      <c r="A79" s="76">
        <v>2834</v>
      </c>
      <c r="B79" s="12" t="s">
        <v>308</v>
      </c>
      <c r="C79" s="67" t="str">
        <f>_xlfn.XLOOKUP(A79,Table8[Employee Number],Table8[Joining Date],"")</f>
        <v>07/03/2021</v>
      </c>
      <c r="D79" s="12" t="s">
        <v>586</v>
      </c>
      <c r="E79" s="12" t="s">
        <v>566</v>
      </c>
      <c r="F79" s="12" t="s">
        <v>463</v>
      </c>
      <c r="G79" s="12" t="s">
        <v>464</v>
      </c>
      <c r="H79" s="65">
        <f t="shared" ref="H79:H110" si="12">AVERAGE(I79,J79)</f>
        <v>3.75</v>
      </c>
      <c r="I79" s="65">
        <v>3.8</v>
      </c>
      <c r="J79" s="65">
        <v>3.7</v>
      </c>
      <c r="K79" s="65" t="str">
        <f t="shared" si="9"/>
        <v>Average</v>
      </c>
      <c r="L79" s="12" t="str">
        <f t="shared" si="10"/>
        <v>Medium</v>
      </c>
      <c r="M79" s="70" t="str">
        <f t="shared" si="11"/>
        <v>2B</v>
      </c>
    </row>
    <row r="80" spans="1:13" x14ac:dyDescent="0.25">
      <c r="A80" s="76">
        <v>10847</v>
      </c>
      <c r="B80" s="12" t="s">
        <v>89</v>
      </c>
      <c r="C80" s="67" t="str">
        <f>_xlfn.XLOOKUP(A80,Table8[Employee Number],Table8[Joining Date],"")</f>
        <v>10/05/2021</v>
      </c>
      <c r="D80" s="12" t="s">
        <v>586</v>
      </c>
      <c r="E80" s="12" t="s">
        <v>559</v>
      </c>
      <c r="F80" s="12" t="s">
        <v>91</v>
      </c>
      <c r="G80" s="12" t="s">
        <v>88</v>
      </c>
      <c r="H80" s="65">
        <f t="shared" si="12"/>
        <v>2.35</v>
      </c>
      <c r="I80" s="65">
        <v>0</v>
      </c>
      <c r="J80" s="65">
        <v>4.7</v>
      </c>
      <c r="K80" s="65" t="str">
        <f t="shared" si="9"/>
        <v>Poor</v>
      </c>
      <c r="L80" s="12" t="str">
        <f t="shared" si="10"/>
        <v>High</v>
      </c>
      <c r="M80" s="70" t="str">
        <f t="shared" si="11"/>
        <v>3A</v>
      </c>
    </row>
    <row r="81" spans="1:13" x14ac:dyDescent="0.25">
      <c r="A81" s="76">
        <v>10831</v>
      </c>
      <c r="B81" s="12" t="s">
        <v>432</v>
      </c>
      <c r="C81" s="67" t="str">
        <f>_xlfn.XLOOKUP(A81,Table8[Employee Number],Table8[Joining Date],"")</f>
        <v>17/01/2021</v>
      </c>
      <c r="D81" s="12" t="s">
        <v>586</v>
      </c>
      <c r="E81" s="12" t="s">
        <v>561</v>
      </c>
      <c r="F81" s="12" t="s">
        <v>249</v>
      </c>
      <c r="G81" s="12" t="s">
        <v>250</v>
      </c>
      <c r="H81" s="65">
        <f t="shared" si="12"/>
        <v>3.45</v>
      </c>
      <c r="I81" s="65">
        <v>3.6</v>
      </c>
      <c r="J81" s="65">
        <v>3.3</v>
      </c>
      <c r="K81" s="65" t="str">
        <f t="shared" si="9"/>
        <v>Average</v>
      </c>
      <c r="L81" s="12" t="str">
        <f t="shared" si="10"/>
        <v>Medium</v>
      </c>
      <c r="M81" s="70" t="str">
        <f t="shared" si="11"/>
        <v>2B</v>
      </c>
    </row>
    <row r="82" spans="1:13" x14ac:dyDescent="0.25">
      <c r="A82" s="76">
        <v>2152</v>
      </c>
      <c r="B82" s="12" t="s">
        <v>173</v>
      </c>
      <c r="C82" s="67" t="str">
        <f>_xlfn.XLOOKUP(A82,Table8[Employee Number],Table8[Joining Date],"")</f>
        <v>01/01/2021</v>
      </c>
      <c r="D82" s="12" t="s">
        <v>586</v>
      </c>
      <c r="E82" s="12" t="s">
        <v>560</v>
      </c>
      <c r="F82" s="12" t="s">
        <v>415</v>
      </c>
      <c r="G82" s="12" t="s">
        <v>413</v>
      </c>
      <c r="H82" s="65">
        <f t="shared" si="12"/>
        <v>4.4000000000000004</v>
      </c>
      <c r="I82" s="65">
        <v>4.5</v>
      </c>
      <c r="J82" s="65">
        <v>4.3</v>
      </c>
      <c r="K82" s="65" t="str">
        <f t="shared" si="9"/>
        <v>High</v>
      </c>
      <c r="L82" s="12" t="str">
        <f t="shared" si="10"/>
        <v>Medium</v>
      </c>
      <c r="M82" s="70" t="str">
        <f t="shared" si="11"/>
        <v>2C</v>
      </c>
    </row>
    <row r="83" spans="1:13" x14ac:dyDescent="0.25">
      <c r="A83" s="76">
        <v>6627</v>
      </c>
      <c r="B83" s="12" t="s">
        <v>392</v>
      </c>
      <c r="C83" s="67" t="str">
        <f>_xlfn.XLOOKUP(A83,Table8[Employee Number],Table8[Joining Date],"")</f>
        <v>01/06/2022</v>
      </c>
      <c r="D83" s="12" t="s">
        <v>587</v>
      </c>
      <c r="E83" s="12" t="s">
        <v>559</v>
      </c>
      <c r="F83" s="12" t="s">
        <v>51</v>
      </c>
      <c r="G83" s="12" t="s">
        <v>65</v>
      </c>
      <c r="H83" s="65">
        <f t="shared" si="12"/>
        <v>3.25</v>
      </c>
      <c r="I83" s="65">
        <v>3.3</v>
      </c>
      <c r="J83" s="65">
        <v>3.2</v>
      </c>
      <c r="K83" s="65" t="str">
        <f t="shared" si="9"/>
        <v>Poor</v>
      </c>
      <c r="L83" s="12" t="str">
        <f t="shared" si="10"/>
        <v>Medium</v>
      </c>
      <c r="M83" s="70" t="str">
        <f t="shared" si="11"/>
        <v>2A</v>
      </c>
    </row>
    <row r="84" spans="1:13" x14ac:dyDescent="0.25">
      <c r="A84" s="76">
        <v>6546</v>
      </c>
      <c r="B84" s="12" t="s">
        <v>394</v>
      </c>
      <c r="C84" s="67" t="str">
        <f>_xlfn.XLOOKUP(A84,Table8[Employee Number],Table8[Joining Date],"")</f>
        <v>01/06/2022</v>
      </c>
      <c r="D84" s="12" t="s">
        <v>587</v>
      </c>
      <c r="E84" s="12" t="s">
        <v>559</v>
      </c>
      <c r="F84" s="12" t="s">
        <v>395</v>
      </c>
      <c r="G84" s="12" t="s">
        <v>384</v>
      </c>
      <c r="H84" s="65">
        <f t="shared" si="12"/>
        <v>4.4000000000000004</v>
      </c>
      <c r="I84" s="65">
        <v>4.5999999999999996</v>
      </c>
      <c r="J84" s="65">
        <v>4.2</v>
      </c>
      <c r="K84" s="65" t="str">
        <f t="shared" si="9"/>
        <v>High</v>
      </c>
      <c r="L84" s="12" t="str">
        <f t="shared" si="10"/>
        <v>Medium</v>
      </c>
      <c r="M84" s="70" t="str">
        <f t="shared" si="11"/>
        <v>2C</v>
      </c>
    </row>
    <row r="85" spans="1:13" x14ac:dyDescent="0.25">
      <c r="A85" s="76">
        <v>6558</v>
      </c>
      <c r="B85" s="12" t="s">
        <v>351</v>
      </c>
      <c r="C85" s="67" t="str">
        <f>_xlfn.XLOOKUP(A85,Table8[Employee Number],Table8[Joining Date],"")</f>
        <v>01/06/2022</v>
      </c>
      <c r="D85" s="12" t="s">
        <v>587</v>
      </c>
      <c r="E85" s="12" t="s">
        <v>558</v>
      </c>
      <c r="F85" s="12" t="s">
        <v>318</v>
      </c>
      <c r="G85" s="12" t="s">
        <v>319</v>
      </c>
      <c r="H85" s="65">
        <f t="shared" si="12"/>
        <v>4.4499999999999993</v>
      </c>
      <c r="I85" s="65">
        <v>4.5999999999999996</v>
      </c>
      <c r="J85" s="65">
        <v>4.3</v>
      </c>
      <c r="K85" s="65" t="str">
        <f t="shared" si="9"/>
        <v>High</v>
      </c>
      <c r="L85" s="12" t="str">
        <f t="shared" si="10"/>
        <v>Medium</v>
      </c>
      <c r="M85" s="70" t="str">
        <f t="shared" si="11"/>
        <v>2C</v>
      </c>
    </row>
    <row r="86" spans="1:13" x14ac:dyDescent="0.25">
      <c r="A86" s="76">
        <v>6550</v>
      </c>
      <c r="B86" s="12" t="s">
        <v>65</v>
      </c>
      <c r="C86" s="67" t="str">
        <f>_xlfn.XLOOKUP(A86,Table8[Employee Number],Table8[Joining Date],"")</f>
        <v>01/06/2022</v>
      </c>
      <c r="D86" s="12" t="s">
        <v>587</v>
      </c>
      <c r="E86" s="12" t="s">
        <v>559</v>
      </c>
      <c r="F86" s="12" t="s">
        <v>393</v>
      </c>
      <c r="G86" s="12" t="s">
        <v>394</v>
      </c>
      <c r="H86" s="65">
        <f t="shared" si="12"/>
        <v>4.3</v>
      </c>
      <c r="I86" s="65">
        <v>4.3</v>
      </c>
      <c r="J86" s="65">
        <v>4.3</v>
      </c>
      <c r="K86" s="65" t="str">
        <f t="shared" si="9"/>
        <v>Average</v>
      </c>
      <c r="L86" s="12" t="str">
        <f t="shared" si="10"/>
        <v>Medium</v>
      </c>
      <c r="M86" s="70" t="str">
        <f t="shared" si="11"/>
        <v>2B</v>
      </c>
    </row>
    <row r="87" spans="1:13" x14ac:dyDescent="0.25">
      <c r="A87" s="76">
        <v>6590</v>
      </c>
      <c r="B87" s="12" t="s">
        <v>208</v>
      </c>
      <c r="C87" s="67" t="str">
        <f>_xlfn.XLOOKUP(A87,Table8[Employee Number],Table8[Joining Date],"")</f>
        <v>01/06/2022</v>
      </c>
      <c r="D87" s="12" t="s">
        <v>587</v>
      </c>
      <c r="E87" s="12" t="s">
        <v>561</v>
      </c>
      <c r="F87" s="12" t="s">
        <v>209</v>
      </c>
      <c r="G87" s="12" t="s">
        <v>238</v>
      </c>
      <c r="H87" s="65">
        <f t="shared" si="12"/>
        <v>1.5</v>
      </c>
      <c r="I87" s="65">
        <v>0</v>
      </c>
      <c r="J87" s="65">
        <v>3</v>
      </c>
      <c r="K87" s="65" t="str">
        <f t="shared" si="9"/>
        <v>Poor</v>
      </c>
      <c r="L87" s="12" t="str">
        <f t="shared" si="10"/>
        <v>Medium</v>
      </c>
      <c r="M87" s="70" t="str">
        <f t="shared" si="11"/>
        <v>2A</v>
      </c>
    </row>
    <row r="88" spans="1:13" x14ac:dyDescent="0.25">
      <c r="A88" s="76">
        <v>6551</v>
      </c>
      <c r="B88" s="12" t="s">
        <v>76</v>
      </c>
      <c r="C88" s="67" t="str">
        <f>_xlfn.XLOOKUP(A88,Table8[Employee Number],Table8[Joining Date],"")</f>
        <v>01/06/2022</v>
      </c>
      <c r="D88" s="12" t="s">
        <v>587</v>
      </c>
      <c r="E88" s="12" t="s">
        <v>559</v>
      </c>
      <c r="F88" s="12" t="s">
        <v>390</v>
      </c>
      <c r="G88" s="12" t="s">
        <v>65</v>
      </c>
      <c r="H88" s="65">
        <f t="shared" si="12"/>
        <v>3.6</v>
      </c>
      <c r="I88" s="65">
        <v>3.7</v>
      </c>
      <c r="J88" s="65">
        <v>3.5</v>
      </c>
      <c r="K88" s="65" t="str">
        <f t="shared" si="9"/>
        <v>Average</v>
      </c>
      <c r="L88" s="12" t="str">
        <f t="shared" si="10"/>
        <v>Medium</v>
      </c>
      <c r="M88" s="70" t="str">
        <f t="shared" si="11"/>
        <v>2B</v>
      </c>
    </row>
    <row r="89" spans="1:13" x14ac:dyDescent="0.25">
      <c r="A89" s="76">
        <v>6593</v>
      </c>
      <c r="B89" s="12" t="s">
        <v>40</v>
      </c>
      <c r="C89" s="67" t="str">
        <f>_xlfn.XLOOKUP(A89,Table8[Employee Number],Table8[Joining Date],"")</f>
        <v>01/06/2022</v>
      </c>
      <c r="D89" s="12" t="s">
        <v>587</v>
      </c>
      <c r="E89" s="12" t="s">
        <v>555</v>
      </c>
      <c r="F89" s="12" t="s">
        <v>39</v>
      </c>
      <c r="G89" s="12" t="s">
        <v>443</v>
      </c>
      <c r="H89" s="65">
        <f t="shared" si="12"/>
        <v>4</v>
      </c>
      <c r="I89" s="65">
        <v>4</v>
      </c>
      <c r="J89" s="65">
        <v>4</v>
      </c>
      <c r="K89" s="65" t="str">
        <f t="shared" si="9"/>
        <v>Average</v>
      </c>
      <c r="L89" s="12" t="str">
        <f t="shared" si="10"/>
        <v>Medium</v>
      </c>
      <c r="M89" s="70" t="str">
        <f t="shared" si="11"/>
        <v>2B</v>
      </c>
    </row>
    <row r="90" spans="1:13" x14ac:dyDescent="0.25">
      <c r="A90" s="76">
        <v>6515</v>
      </c>
      <c r="B90" s="12" t="s">
        <v>311</v>
      </c>
      <c r="C90" s="67" t="str">
        <f>_xlfn.XLOOKUP(A90,Table8[Employee Number],Table8[Joining Date],"")</f>
        <v>07/10/2024</v>
      </c>
      <c r="D90" s="12" t="s">
        <v>586</v>
      </c>
      <c r="E90" s="12" t="s">
        <v>566</v>
      </c>
      <c r="F90" s="12" t="s">
        <v>307</v>
      </c>
      <c r="G90" s="12" t="s">
        <v>568</v>
      </c>
      <c r="H90" s="65">
        <f t="shared" si="12"/>
        <v>4.55</v>
      </c>
      <c r="I90" s="65">
        <v>4.5999999999999996</v>
      </c>
      <c r="J90" s="65">
        <v>4.5</v>
      </c>
      <c r="K90" s="65" t="str">
        <f t="shared" si="9"/>
        <v>High</v>
      </c>
      <c r="L90" s="12" t="str">
        <f t="shared" si="10"/>
        <v>High</v>
      </c>
      <c r="M90" s="70" t="str">
        <f t="shared" si="11"/>
        <v>3C</v>
      </c>
    </row>
    <row r="91" spans="1:13" x14ac:dyDescent="0.25">
      <c r="A91" s="76">
        <v>6556</v>
      </c>
      <c r="B91" s="12" t="s">
        <v>352</v>
      </c>
      <c r="C91" s="67" t="str">
        <f>_xlfn.XLOOKUP(A91,Table8[Employee Number],Table8[Joining Date],"")</f>
        <v>01/06/2022</v>
      </c>
      <c r="D91" s="12" t="s">
        <v>587</v>
      </c>
      <c r="E91" s="12" t="s">
        <v>558</v>
      </c>
      <c r="F91" s="12" t="s">
        <v>321</v>
      </c>
      <c r="G91" s="12" t="s">
        <v>319</v>
      </c>
      <c r="H91" s="65">
        <f t="shared" si="12"/>
        <v>4.25</v>
      </c>
      <c r="I91" s="65">
        <v>4.2</v>
      </c>
      <c r="J91" s="65">
        <v>4.3</v>
      </c>
      <c r="K91" s="65" t="str">
        <f t="shared" si="9"/>
        <v>Average</v>
      </c>
      <c r="L91" s="12" t="str">
        <f t="shared" si="10"/>
        <v>Medium</v>
      </c>
      <c r="M91" s="70" t="str">
        <f t="shared" si="11"/>
        <v>2B</v>
      </c>
    </row>
    <row r="92" spans="1:13" x14ac:dyDescent="0.25">
      <c r="A92" s="76">
        <v>6562</v>
      </c>
      <c r="B92" s="12" t="s">
        <v>354</v>
      </c>
      <c r="C92" s="67" t="str">
        <f>_xlfn.XLOOKUP(A92,Table8[Employee Number],Table8[Joining Date],"")</f>
        <v>01/06/2022</v>
      </c>
      <c r="D92" s="12" t="s">
        <v>587</v>
      </c>
      <c r="E92" s="12" t="s">
        <v>558</v>
      </c>
      <c r="F92" s="12" t="s">
        <v>321</v>
      </c>
      <c r="G92" s="12" t="s">
        <v>319</v>
      </c>
      <c r="H92" s="65">
        <f t="shared" si="12"/>
        <v>3.9</v>
      </c>
      <c r="I92" s="65">
        <v>4</v>
      </c>
      <c r="J92" s="65">
        <v>3.8</v>
      </c>
      <c r="K92" s="65" t="str">
        <f t="shared" si="9"/>
        <v>Average</v>
      </c>
      <c r="L92" s="12" t="str">
        <f t="shared" si="10"/>
        <v>Medium</v>
      </c>
      <c r="M92" s="70" t="str">
        <f t="shared" si="11"/>
        <v>2B</v>
      </c>
    </row>
    <row r="93" spans="1:13" x14ac:dyDescent="0.25">
      <c r="A93" s="76">
        <v>6608</v>
      </c>
      <c r="B93" s="12" t="s">
        <v>43</v>
      </c>
      <c r="C93" s="67" t="str">
        <f>_xlfn.XLOOKUP(A93,Table8[Employee Number],Table8[Joining Date],"")</f>
        <v>01/06/2022</v>
      </c>
      <c r="D93" s="12" t="s">
        <v>587</v>
      </c>
      <c r="E93" s="12" t="s">
        <v>555</v>
      </c>
      <c r="F93" s="12" t="s">
        <v>39</v>
      </c>
      <c r="G93" s="12" t="s">
        <v>443</v>
      </c>
      <c r="H93" s="65">
        <f t="shared" si="12"/>
        <v>3</v>
      </c>
      <c r="I93" s="65">
        <v>3</v>
      </c>
      <c r="J93" s="65">
        <v>3</v>
      </c>
      <c r="K93" s="65" t="str">
        <f t="shared" si="9"/>
        <v>Poor</v>
      </c>
      <c r="L93" s="12" t="str">
        <f t="shared" si="10"/>
        <v>Medium</v>
      </c>
      <c r="M93" s="70" t="str">
        <f t="shared" si="11"/>
        <v>2A</v>
      </c>
    </row>
    <row r="94" spans="1:13" x14ac:dyDescent="0.25">
      <c r="A94" s="76">
        <v>6547</v>
      </c>
      <c r="B94" s="12" t="s">
        <v>355</v>
      </c>
      <c r="C94" s="67" t="str">
        <f>_xlfn.XLOOKUP(A94,Table8[Employee Number],Table8[Joining Date],"")</f>
        <v>01/06/2022</v>
      </c>
      <c r="D94" s="12" t="s">
        <v>587</v>
      </c>
      <c r="E94" s="12" t="s">
        <v>558</v>
      </c>
      <c r="F94" s="12" t="s">
        <v>356</v>
      </c>
      <c r="G94" s="12" t="s">
        <v>319</v>
      </c>
      <c r="H94" s="65">
        <f t="shared" si="12"/>
        <v>3.9</v>
      </c>
      <c r="I94" s="65">
        <v>4</v>
      </c>
      <c r="J94" s="65">
        <v>3.8</v>
      </c>
      <c r="K94" s="65" t="str">
        <f t="shared" si="9"/>
        <v>Average</v>
      </c>
      <c r="L94" s="12" t="str">
        <f t="shared" si="10"/>
        <v>Medium</v>
      </c>
      <c r="M94" s="70" t="str">
        <f t="shared" si="11"/>
        <v>2B</v>
      </c>
    </row>
    <row r="95" spans="1:13" x14ac:dyDescent="0.25">
      <c r="A95" s="76">
        <v>10851</v>
      </c>
      <c r="B95" s="12" t="s">
        <v>46</v>
      </c>
      <c r="C95" s="67" t="str">
        <f>_xlfn.XLOOKUP(A95,Table8[Employee Number],Table8[Joining Date],"")</f>
        <v>25/05/2021</v>
      </c>
      <c r="D95" s="12" t="s">
        <v>586</v>
      </c>
      <c r="E95" s="12" t="s">
        <v>555</v>
      </c>
      <c r="F95" s="12" t="s">
        <v>48</v>
      </c>
      <c r="G95" s="12" t="s">
        <v>29</v>
      </c>
      <c r="H95" s="65">
        <f t="shared" si="12"/>
        <v>4</v>
      </c>
      <c r="I95" s="65">
        <v>4</v>
      </c>
      <c r="J95" s="65">
        <v>4</v>
      </c>
      <c r="K95" s="65" t="str">
        <f t="shared" si="9"/>
        <v>Average</v>
      </c>
      <c r="L95" s="12" t="str">
        <f t="shared" si="10"/>
        <v>Medium</v>
      </c>
      <c r="M95" s="70" t="str">
        <f t="shared" si="11"/>
        <v>2B</v>
      </c>
    </row>
    <row r="96" spans="1:13" x14ac:dyDescent="0.25">
      <c r="A96" s="76">
        <v>10308</v>
      </c>
      <c r="B96" s="12" t="s">
        <v>92</v>
      </c>
      <c r="C96" s="67" t="str">
        <f>_xlfn.XLOOKUP(A96,Table8[Employee Number],Table8[Joining Date],"")</f>
        <v>25/10/2020</v>
      </c>
      <c r="D96" s="12" t="s">
        <v>586</v>
      </c>
      <c r="E96" s="12" t="s">
        <v>559</v>
      </c>
      <c r="F96" s="12" t="s">
        <v>91</v>
      </c>
      <c r="G96" s="12" t="s">
        <v>88</v>
      </c>
      <c r="H96" s="65">
        <f t="shared" si="12"/>
        <v>2</v>
      </c>
      <c r="I96" s="65">
        <v>0</v>
      </c>
      <c r="J96" s="65">
        <v>4</v>
      </c>
      <c r="K96" s="65" t="str">
        <f t="shared" si="9"/>
        <v>Poor</v>
      </c>
      <c r="L96" s="12" t="str">
        <f t="shared" si="10"/>
        <v>Medium</v>
      </c>
      <c r="M96" s="70" t="str">
        <f t="shared" si="11"/>
        <v>2A</v>
      </c>
    </row>
    <row r="97" spans="1:13" x14ac:dyDescent="0.25">
      <c r="A97" s="76">
        <v>4708</v>
      </c>
      <c r="B97" s="12" t="s">
        <v>333</v>
      </c>
      <c r="C97" s="67" t="str">
        <f>_xlfn.XLOOKUP(A97,Table8[Employee Number],Table8[Joining Date],"")</f>
        <v>01/01/2021</v>
      </c>
      <c r="D97" s="12" t="s">
        <v>586</v>
      </c>
      <c r="E97" s="12" t="s">
        <v>558</v>
      </c>
      <c r="F97" s="12" t="s">
        <v>466</v>
      </c>
      <c r="G97" s="12" t="s">
        <v>316</v>
      </c>
      <c r="H97" s="65">
        <f t="shared" si="12"/>
        <v>4.8</v>
      </c>
      <c r="I97" s="65">
        <v>4.8</v>
      </c>
      <c r="J97" s="65">
        <v>4.8</v>
      </c>
      <c r="K97" s="65" t="str">
        <f t="shared" si="9"/>
        <v>High</v>
      </c>
      <c r="L97" s="12" t="str">
        <f t="shared" si="10"/>
        <v>High</v>
      </c>
      <c r="M97" s="70" t="str">
        <f t="shared" si="11"/>
        <v>3C</v>
      </c>
    </row>
    <row r="98" spans="1:13" x14ac:dyDescent="0.25">
      <c r="A98" s="76">
        <v>10841</v>
      </c>
      <c r="B98" s="12" t="s">
        <v>280</v>
      </c>
      <c r="C98" s="67" t="str">
        <f>_xlfn.XLOOKUP(A98,Table8[Employee Number],Table8[Joining Date],"")</f>
        <v>28/03/2021</v>
      </c>
      <c r="D98" s="12" t="s">
        <v>586</v>
      </c>
      <c r="E98" s="12" t="s">
        <v>557</v>
      </c>
      <c r="F98" s="12" t="s">
        <v>282</v>
      </c>
      <c r="G98" s="12" t="s">
        <v>283</v>
      </c>
      <c r="H98" s="65">
        <f t="shared" si="12"/>
        <v>4.5500000000000007</v>
      </c>
      <c r="I98" s="65">
        <v>4.4000000000000004</v>
      </c>
      <c r="J98" s="65">
        <v>4.7</v>
      </c>
      <c r="K98" s="65" t="str">
        <f t="shared" si="9"/>
        <v>High</v>
      </c>
      <c r="L98" s="12" t="str">
        <f t="shared" si="10"/>
        <v>High</v>
      </c>
      <c r="M98" s="70" t="str">
        <f t="shared" si="11"/>
        <v>3C</v>
      </c>
    </row>
    <row r="99" spans="1:13" x14ac:dyDescent="0.25">
      <c r="A99" s="76">
        <v>10832</v>
      </c>
      <c r="B99" s="12" t="s">
        <v>357</v>
      </c>
      <c r="C99" s="67" t="str">
        <f>_xlfn.XLOOKUP(A99,Table8[Employee Number],Table8[Joining Date],"")</f>
        <v>22/02/2021</v>
      </c>
      <c r="D99" s="12" t="s">
        <v>586</v>
      </c>
      <c r="E99" s="12" t="s">
        <v>558</v>
      </c>
      <c r="F99" s="12" t="s">
        <v>315</v>
      </c>
      <c r="G99" s="12" t="s">
        <v>316</v>
      </c>
      <c r="H99" s="65">
        <f t="shared" si="12"/>
        <v>4.6500000000000004</v>
      </c>
      <c r="I99" s="65">
        <v>4.5</v>
      </c>
      <c r="J99" s="65">
        <v>4.8</v>
      </c>
      <c r="K99" s="65" t="str">
        <f t="shared" si="9"/>
        <v>High</v>
      </c>
      <c r="L99" s="12" t="str">
        <f t="shared" si="10"/>
        <v>High</v>
      </c>
      <c r="M99" s="70" t="str">
        <f t="shared" si="11"/>
        <v>3C</v>
      </c>
    </row>
    <row r="100" spans="1:13" x14ac:dyDescent="0.25">
      <c r="A100" s="76">
        <v>31262</v>
      </c>
      <c r="B100" s="12" t="s">
        <v>259</v>
      </c>
      <c r="C100" s="67" t="str">
        <f>_xlfn.XLOOKUP(A100,Table8[Employee Number],Table8[Joining Date],"")</f>
        <v>16/01/2022</v>
      </c>
      <c r="D100" s="12" t="s">
        <v>585</v>
      </c>
      <c r="E100" s="12" t="s">
        <v>562</v>
      </c>
      <c r="F100" s="12" t="s">
        <v>261</v>
      </c>
      <c r="G100" s="12" t="s">
        <v>15</v>
      </c>
      <c r="H100" s="65">
        <f t="shared" si="12"/>
        <v>4.1999999999999993</v>
      </c>
      <c r="I100" s="65">
        <v>4.0999999999999996</v>
      </c>
      <c r="J100" s="65">
        <v>4.3</v>
      </c>
      <c r="K100" s="65" t="str">
        <f t="shared" si="9"/>
        <v>Average</v>
      </c>
      <c r="L100" s="12" t="str">
        <f t="shared" si="10"/>
        <v>Medium</v>
      </c>
      <c r="M100" s="70" t="str">
        <f t="shared" si="11"/>
        <v>2B</v>
      </c>
    </row>
    <row r="101" spans="1:13" x14ac:dyDescent="0.25">
      <c r="A101" s="76">
        <v>6591</v>
      </c>
      <c r="B101" s="12" t="s">
        <v>279</v>
      </c>
      <c r="C101" s="67" t="str">
        <f>_xlfn.XLOOKUP(A101,Table8[Employee Number],Table8[Joining Date],"")</f>
        <v>01/06/2022</v>
      </c>
      <c r="D101" s="12" t="s">
        <v>587</v>
      </c>
      <c r="E101" s="12" t="s">
        <v>557</v>
      </c>
      <c r="F101" s="12" t="s">
        <v>453</v>
      </c>
      <c r="G101" s="12" t="s">
        <v>394</v>
      </c>
      <c r="H101" s="65">
        <f t="shared" si="12"/>
        <v>4.9000000000000004</v>
      </c>
      <c r="I101" s="65">
        <v>5</v>
      </c>
      <c r="J101" s="65">
        <v>4.8</v>
      </c>
      <c r="K101" s="65" t="str">
        <f t="shared" si="9"/>
        <v>High</v>
      </c>
      <c r="L101" s="12" t="str">
        <f t="shared" si="10"/>
        <v>High</v>
      </c>
      <c r="M101" s="70" t="str">
        <f t="shared" si="11"/>
        <v>3C</v>
      </c>
    </row>
    <row r="102" spans="1:13" x14ac:dyDescent="0.25">
      <c r="A102" s="76">
        <v>10122</v>
      </c>
      <c r="B102" s="12" t="s">
        <v>169</v>
      </c>
      <c r="C102" s="67" t="str">
        <f>_xlfn.XLOOKUP(A102,Table8[Employee Number],Table8[Joining Date],"")</f>
        <v>01/11/2020</v>
      </c>
      <c r="D102" s="12" t="s">
        <v>586</v>
      </c>
      <c r="E102" s="12" t="s">
        <v>556</v>
      </c>
      <c r="F102" s="12" t="s">
        <v>103</v>
      </c>
      <c r="G102" s="12" t="s">
        <v>386</v>
      </c>
      <c r="H102" s="65">
        <f t="shared" si="12"/>
        <v>4</v>
      </c>
      <c r="I102" s="65">
        <v>4</v>
      </c>
      <c r="J102" s="65">
        <v>4</v>
      </c>
      <c r="K102" s="65" t="str">
        <f t="shared" si="9"/>
        <v>Average</v>
      </c>
      <c r="L102" s="12" t="str">
        <f t="shared" si="10"/>
        <v>Medium</v>
      </c>
      <c r="M102" s="70" t="str">
        <f t="shared" si="11"/>
        <v>2B</v>
      </c>
    </row>
    <row r="103" spans="1:13" x14ac:dyDescent="0.25">
      <c r="A103" s="76">
        <v>10854</v>
      </c>
      <c r="B103" s="12" t="s">
        <v>241</v>
      </c>
      <c r="C103" s="67" t="str">
        <f>_xlfn.XLOOKUP(A103,Table8[Employee Number],Table8[Joining Date],"")</f>
        <v>19/09/2021</v>
      </c>
      <c r="D103" s="12" t="s">
        <v>586</v>
      </c>
      <c r="E103" s="12" t="s">
        <v>561</v>
      </c>
      <c r="F103" s="12" t="s">
        <v>242</v>
      </c>
      <c r="G103" s="12" t="s">
        <v>243</v>
      </c>
      <c r="H103" s="65">
        <f t="shared" si="12"/>
        <v>2.95</v>
      </c>
      <c r="I103" s="65">
        <v>2.9</v>
      </c>
      <c r="J103" s="65">
        <v>3</v>
      </c>
      <c r="K103" s="65" t="str">
        <f t="shared" si="9"/>
        <v>Poor</v>
      </c>
      <c r="L103" s="12" t="str">
        <f t="shared" si="10"/>
        <v>Medium</v>
      </c>
      <c r="M103" s="70" t="str">
        <f t="shared" si="11"/>
        <v>2A</v>
      </c>
    </row>
    <row r="104" spans="1:13" x14ac:dyDescent="0.25">
      <c r="A104" s="76">
        <v>31431</v>
      </c>
      <c r="B104" s="12" t="s">
        <v>180</v>
      </c>
      <c r="C104" s="67" t="str">
        <f>_xlfn.XLOOKUP(A104,Table8[Employee Number],Table8[Joining Date],"")</f>
        <v>09/04/2022</v>
      </c>
      <c r="D104" s="12" t="s">
        <v>585</v>
      </c>
      <c r="E104" s="12" t="s">
        <v>560</v>
      </c>
      <c r="F104" s="12" t="s">
        <v>176</v>
      </c>
      <c r="G104" s="12" t="s">
        <v>413</v>
      </c>
      <c r="H104" s="65">
        <f t="shared" si="12"/>
        <v>4.5</v>
      </c>
      <c r="I104" s="65">
        <v>4.5</v>
      </c>
      <c r="J104" s="65">
        <v>4.5</v>
      </c>
      <c r="K104" s="65" t="str">
        <f t="shared" si="9"/>
        <v>High</v>
      </c>
      <c r="L104" s="12" t="str">
        <f t="shared" si="10"/>
        <v>High</v>
      </c>
      <c r="M104" s="70" t="str">
        <f t="shared" si="11"/>
        <v>3C</v>
      </c>
    </row>
    <row r="105" spans="1:13" x14ac:dyDescent="0.25">
      <c r="A105" s="76">
        <v>10836</v>
      </c>
      <c r="B105" s="12" t="s">
        <v>401</v>
      </c>
      <c r="C105" s="67" t="str">
        <f>_xlfn.XLOOKUP(A105,Table8[Employee Number],Table8[Joining Date],"")</f>
        <v>01/10/2021</v>
      </c>
      <c r="D105" s="12" t="s">
        <v>585</v>
      </c>
      <c r="E105" s="12" t="s">
        <v>556</v>
      </c>
      <c r="F105" s="12" t="s">
        <v>150</v>
      </c>
      <c r="G105" s="12" t="s">
        <v>563</v>
      </c>
      <c r="H105" s="65">
        <f t="shared" si="12"/>
        <v>2.15</v>
      </c>
      <c r="I105" s="65">
        <v>0</v>
      </c>
      <c r="J105" s="65">
        <v>4.3</v>
      </c>
      <c r="K105" s="65" t="str">
        <f t="shared" si="9"/>
        <v>Poor</v>
      </c>
      <c r="L105" s="12" t="str">
        <f t="shared" si="10"/>
        <v>Medium</v>
      </c>
      <c r="M105" s="70" t="str">
        <f t="shared" si="11"/>
        <v>2A</v>
      </c>
    </row>
    <row r="106" spans="1:13" x14ac:dyDescent="0.25">
      <c r="A106" s="76">
        <v>10822</v>
      </c>
      <c r="B106" s="12" t="s">
        <v>247</v>
      </c>
      <c r="C106" s="67" t="str">
        <f>_xlfn.XLOOKUP(A106,Table8[Employee Number],Table8[Joining Date],"")</f>
        <v>15/11/2020</v>
      </c>
      <c r="D106" s="12" t="s">
        <v>586</v>
      </c>
      <c r="E106" s="12" t="s">
        <v>561</v>
      </c>
      <c r="F106" s="12" t="s">
        <v>249</v>
      </c>
      <c r="G106" s="12" t="s">
        <v>250</v>
      </c>
      <c r="H106" s="65">
        <f t="shared" si="12"/>
        <v>1.75</v>
      </c>
      <c r="I106" s="65">
        <v>0</v>
      </c>
      <c r="J106" s="65">
        <v>3.5</v>
      </c>
      <c r="K106" s="65" t="str">
        <f t="shared" si="9"/>
        <v>Poor</v>
      </c>
      <c r="L106" s="12" t="str">
        <f t="shared" si="10"/>
        <v>Medium</v>
      </c>
      <c r="M106" s="70" t="str">
        <f t="shared" si="11"/>
        <v>2A</v>
      </c>
    </row>
    <row r="107" spans="1:13" x14ac:dyDescent="0.25">
      <c r="A107" s="76">
        <v>4686</v>
      </c>
      <c r="B107" s="12" t="s">
        <v>88</v>
      </c>
      <c r="C107" s="67" t="str">
        <f>_xlfn.XLOOKUP(A107,Table8[Employee Number],Table8[Joining Date],"")</f>
        <v>01/11/2020</v>
      </c>
      <c r="D107" s="12" t="s">
        <v>586</v>
      </c>
      <c r="E107" s="12" t="s">
        <v>559</v>
      </c>
      <c r="F107" s="12" t="s">
        <v>398</v>
      </c>
      <c r="G107" s="12" t="s">
        <v>563</v>
      </c>
      <c r="H107" s="65">
        <f t="shared" si="12"/>
        <v>2.1</v>
      </c>
      <c r="I107" s="65">
        <v>0</v>
      </c>
      <c r="J107" s="65">
        <v>4.2</v>
      </c>
      <c r="K107" s="65" t="str">
        <f t="shared" ref="K107:K129" si="13">IF(H107="","",
IF(OR(H107="NR",H107="NA"),"NA",
IF(H107&lt;$I$3,"Poor",
IF(H107&lt;$I$4,"Average","High")
)))</f>
        <v>Poor</v>
      </c>
      <c r="L107" s="12" t="str">
        <f t="shared" ref="L107:L129" si="14">IF(J107="","",
IF(OR(J107="NR",J107="NA"),"NA",
IF(J107&lt;$L$3,"Low",
IF(J107&lt;$L$4,"Medium","High")
)))</f>
        <v>Medium</v>
      </c>
      <c r="M107" s="70" t="str">
        <f t="shared" ref="M107:M129" si="15">IF(OR(K107="",L107=""),"",
IF(AND(K107=$H$5,L107=$K$5),"3C",
IF(AND(K107=$H$4,L107=$K$5),"3B",
IF(AND(K107=$H$3,L107=$K$5),"3A",
IF(AND(K107=$H$5,L107=$K$4),"2C",
IF(AND(K107=$H$4,L107=$K$4),"2B",
IF(AND(K107=$H$3,L107=$K$4),"2A",
IF(AND(K107=$H$5,L107=$K$3),"1C",
IF(AND(K107=$H$4,L107=$K$3),"1B",
IF(AND(K107=$H$3,L107=$K$3),"1A","")
)))))))))</f>
        <v>2A</v>
      </c>
    </row>
    <row r="108" spans="1:13" x14ac:dyDescent="0.25">
      <c r="A108" s="76">
        <v>6616</v>
      </c>
      <c r="B108" s="12" t="s">
        <v>284</v>
      </c>
      <c r="C108" s="67" t="str">
        <f>_xlfn.XLOOKUP(A108,Table8[Employee Number],Table8[Joining Date],"")</f>
        <v>01/06/2022</v>
      </c>
      <c r="D108" s="12" t="s">
        <v>587</v>
      </c>
      <c r="E108" s="12" t="s">
        <v>557</v>
      </c>
      <c r="F108" s="12" t="s">
        <v>285</v>
      </c>
      <c r="G108" s="12" t="s">
        <v>279</v>
      </c>
      <c r="H108" s="65">
        <f t="shared" si="12"/>
        <v>4</v>
      </c>
      <c r="I108" s="65">
        <v>4</v>
      </c>
      <c r="J108" s="65">
        <v>4</v>
      </c>
      <c r="K108" s="65" t="str">
        <f t="shared" si="13"/>
        <v>Average</v>
      </c>
      <c r="L108" s="12" t="str">
        <f t="shared" si="14"/>
        <v>Medium</v>
      </c>
      <c r="M108" s="70" t="str">
        <f t="shared" si="15"/>
        <v>2B</v>
      </c>
    </row>
    <row r="109" spans="1:13" x14ac:dyDescent="0.25">
      <c r="A109" s="76">
        <v>10892</v>
      </c>
      <c r="B109" s="12" t="s">
        <v>245</v>
      </c>
      <c r="C109" s="67" t="str">
        <f>_xlfn.XLOOKUP(A109,Table8[Employee Number],Table8[Joining Date],"")</f>
        <v>05/12/2022</v>
      </c>
      <c r="D109" s="12" t="s">
        <v>586</v>
      </c>
      <c r="E109" s="12" t="s">
        <v>561</v>
      </c>
      <c r="F109" s="12" t="s">
        <v>224</v>
      </c>
      <c r="G109" s="12" t="s">
        <v>225</v>
      </c>
      <c r="H109" s="65">
        <f t="shared" si="12"/>
        <v>3.75</v>
      </c>
      <c r="I109" s="65">
        <v>3.8</v>
      </c>
      <c r="J109" s="65">
        <v>3.7</v>
      </c>
      <c r="K109" s="65" t="str">
        <f t="shared" si="13"/>
        <v>Average</v>
      </c>
      <c r="L109" s="12" t="str">
        <f t="shared" si="14"/>
        <v>Medium</v>
      </c>
      <c r="M109" s="70" t="str">
        <f t="shared" si="15"/>
        <v>2B</v>
      </c>
    </row>
    <row r="110" spans="1:13" x14ac:dyDescent="0.25">
      <c r="A110" s="76">
        <v>10840</v>
      </c>
      <c r="B110" s="12" t="s">
        <v>364</v>
      </c>
      <c r="C110" s="67" t="str">
        <f>_xlfn.XLOOKUP(A110,Table8[Employee Number],Table8[Joining Date],"")</f>
        <v>21/03/2021</v>
      </c>
      <c r="D110" s="12" t="s">
        <v>586</v>
      </c>
      <c r="E110" s="12" t="s">
        <v>558</v>
      </c>
      <c r="F110" s="12" t="s">
        <v>315</v>
      </c>
      <c r="G110" s="12" t="s">
        <v>316</v>
      </c>
      <c r="H110" s="65">
        <f t="shared" si="12"/>
        <v>2.75</v>
      </c>
      <c r="I110" s="65">
        <v>2.8</v>
      </c>
      <c r="J110" s="65">
        <v>2.7</v>
      </c>
      <c r="K110" s="65" t="str">
        <f t="shared" si="13"/>
        <v>Poor</v>
      </c>
      <c r="L110" s="12" t="str">
        <f t="shared" si="14"/>
        <v>Low</v>
      </c>
      <c r="M110" s="70" t="str">
        <f t="shared" si="15"/>
        <v>1A</v>
      </c>
    </row>
    <row r="111" spans="1:13" x14ac:dyDescent="0.25">
      <c r="A111" s="76">
        <v>31217</v>
      </c>
      <c r="B111" s="12" t="s">
        <v>104</v>
      </c>
      <c r="C111" s="67" t="str">
        <f>_xlfn.XLOOKUP(A111,Table8[Employee Number],Table8[Joining Date],"")</f>
        <v>06/01/2021</v>
      </c>
      <c r="D111" s="12" t="s">
        <v>585</v>
      </c>
      <c r="E111" s="12" t="s">
        <v>556</v>
      </c>
      <c r="F111" s="12" t="s">
        <v>400</v>
      </c>
      <c r="G111" s="12" t="s">
        <v>401</v>
      </c>
      <c r="H111" s="65">
        <f t="shared" ref="H111:H129" si="16">AVERAGE(I111,J111)</f>
        <v>4</v>
      </c>
      <c r="I111" s="65">
        <v>4</v>
      </c>
      <c r="J111" s="65">
        <v>4</v>
      </c>
      <c r="K111" s="65" t="str">
        <f t="shared" si="13"/>
        <v>Average</v>
      </c>
      <c r="L111" s="12" t="str">
        <f t="shared" si="14"/>
        <v>Medium</v>
      </c>
      <c r="M111" s="70" t="str">
        <f t="shared" si="15"/>
        <v>2B</v>
      </c>
    </row>
    <row r="112" spans="1:13" x14ac:dyDescent="0.25">
      <c r="A112" s="76">
        <v>10304</v>
      </c>
      <c r="B112" s="12" t="s">
        <v>366</v>
      </c>
      <c r="C112" s="67" t="str">
        <f>_xlfn.XLOOKUP(A112,Table8[Employee Number],Table8[Joining Date],"")</f>
        <v>08/11/2020</v>
      </c>
      <c r="D112" s="12" t="s">
        <v>586</v>
      </c>
      <c r="E112" s="12" t="s">
        <v>558</v>
      </c>
      <c r="F112" s="12" t="s">
        <v>315</v>
      </c>
      <c r="G112" s="12" t="s">
        <v>316</v>
      </c>
      <c r="H112" s="65">
        <f t="shared" si="16"/>
        <v>4.5999999999999996</v>
      </c>
      <c r="I112" s="65">
        <v>4.5</v>
      </c>
      <c r="J112" s="65">
        <v>4.7</v>
      </c>
      <c r="K112" s="65" t="str">
        <f t="shared" si="13"/>
        <v>High</v>
      </c>
      <c r="L112" s="12" t="str">
        <f t="shared" si="14"/>
        <v>High</v>
      </c>
      <c r="M112" s="70" t="str">
        <f t="shared" si="15"/>
        <v>3C</v>
      </c>
    </row>
    <row r="113" spans="1:13" x14ac:dyDescent="0.25">
      <c r="A113" s="76">
        <v>10838</v>
      </c>
      <c r="B113" s="12" t="s">
        <v>250</v>
      </c>
      <c r="C113" s="67" t="str">
        <f>_xlfn.XLOOKUP(A113,Table8[Employee Number],Table8[Joining Date],"")</f>
        <v>07/03/2021</v>
      </c>
      <c r="D113" s="12" t="s">
        <v>586</v>
      </c>
      <c r="E113" s="12" t="s">
        <v>561</v>
      </c>
      <c r="F113" s="12" t="s">
        <v>437</v>
      </c>
      <c r="G113" s="12" t="s">
        <v>382</v>
      </c>
      <c r="H113" s="65">
        <f t="shared" si="16"/>
        <v>4</v>
      </c>
      <c r="I113" s="65">
        <v>4</v>
      </c>
      <c r="J113" s="65">
        <v>4</v>
      </c>
      <c r="K113" s="65" t="str">
        <f t="shared" si="13"/>
        <v>Average</v>
      </c>
      <c r="L113" s="12" t="str">
        <f t="shared" si="14"/>
        <v>Medium</v>
      </c>
      <c r="M113" s="70" t="str">
        <f t="shared" si="15"/>
        <v>2B</v>
      </c>
    </row>
    <row r="114" spans="1:13" x14ac:dyDescent="0.25">
      <c r="A114" s="76">
        <v>10511</v>
      </c>
      <c r="B114" s="12" t="s">
        <v>368</v>
      </c>
      <c r="C114" s="67" t="str">
        <f>_xlfn.XLOOKUP(A114,Table8[Employee Number],Table8[Joining Date],"")</f>
        <v>01/01/2021</v>
      </c>
      <c r="D114" s="12" t="s">
        <v>586</v>
      </c>
      <c r="E114" s="12" t="s">
        <v>558</v>
      </c>
      <c r="F114" s="12" t="s">
        <v>369</v>
      </c>
      <c r="G114" s="12" t="s">
        <v>333</v>
      </c>
      <c r="H114" s="65">
        <f t="shared" si="16"/>
        <v>5</v>
      </c>
      <c r="I114" s="65">
        <v>5</v>
      </c>
      <c r="J114" s="65">
        <v>5</v>
      </c>
      <c r="K114" s="65" t="str">
        <f t="shared" si="13"/>
        <v>High</v>
      </c>
      <c r="L114" s="12" t="str">
        <f t="shared" si="14"/>
        <v>High</v>
      </c>
      <c r="M114" s="70" t="str">
        <f t="shared" si="15"/>
        <v>3C</v>
      </c>
    </row>
    <row r="115" spans="1:13" x14ac:dyDescent="0.25">
      <c r="A115" s="76">
        <v>10116</v>
      </c>
      <c r="B115" s="12" t="s">
        <v>29</v>
      </c>
      <c r="C115" s="67" t="str">
        <f>_xlfn.XLOOKUP(A115,Table8[Employee Number],Table8[Joining Date],"")</f>
        <v>14/10/2020</v>
      </c>
      <c r="D115" s="12" t="s">
        <v>586</v>
      </c>
      <c r="E115" s="12" t="s">
        <v>555</v>
      </c>
      <c r="F115" s="12" t="s">
        <v>383</v>
      </c>
      <c r="G115" s="12" t="s">
        <v>15</v>
      </c>
      <c r="H115" s="65">
        <f t="shared" si="16"/>
        <v>4.75</v>
      </c>
      <c r="I115" s="65">
        <v>4.8</v>
      </c>
      <c r="J115" s="65">
        <v>4.7</v>
      </c>
      <c r="K115" s="65" t="str">
        <f t="shared" si="13"/>
        <v>High</v>
      </c>
      <c r="L115" s="12" t="str">
        <f t="shared" si="14"/>
        <v>High</v>
      </c>
      <c r="M115" s="70" t="str">
        <f t="shared" si="15"/>
        <v>3C</v>
      </c>
    </row>
    <row r="116" spans="1:13" x14ac:dyDescent="0.25">
      <c r="A116" s="76">
        <v>6588</v>
      </c>
      <c r="B116" s="12" t="s">
        <v>218</v>
      </c>
      <c r="C116" s="67" t="str">
        <f>_xlfn.XLOOKUP(A116,Table8[Employee Number],Table8[Joining Date],"")</f>
        <v>01/06/2022</v>
      </c>
      <c r="D116" s="12" t="s">
        <v>587</v>
      </c>
      <c r="E116" s="12" t="s">
        <v>561</v>
      </c>
      <c r="F116" s="12" t="s">
        <v>209</v>
      </c>
      <c r="G116" s="12" t="s">
        <v>238</v>
      </c>
      <c r="H116" s="65">
        <f t="shared" si="16"/>
        <v>1.5</v>
      </c>
      <c r="I116" s="65">
        <v>0</v>
      </c>
      <c r="J116" s="65">
        <v>3</v>
      </c>
      <c r="K116" s="65" t="str">
        <f t="shared" si="13"/>
        <v>Poor</v>
      </c>
      <c r="L116" s="12" t="str">
        <f t="shared" si="14"/>
        <v>Medium</v>
      </c>
      <c r="M116" s="70" t="str">
        <f t="shared" si="15"/>
        <v>2A</v>
      </c>
    </row>
    <row r="117" spans="1:13" x14ac:dyDescent="0.25">
      <c r="A117" s="76">
        <v>10319</v>
      </c>
      <c r="B117" s="12" t="s">
        <v>155</v>
      </c>
      <c r="C117" s="67" t="str">
        <f>_xlfn.XLOOKUP(A117,Table8[Employee Number],Table8[Joining Date],"")</f>
        <v>03/01/2021</v>
      </c>
      <c r="D117" s="12" t="s">
        <v>586</v>
      </c>
      <c r="E117" s="12" t="s">
        <v>556</v>
      </c>
      <c r="F117" s="12" t="s">
        <v>103</v>
      </c>
      <c r="G117" s="12" t="s">
        <v>386</v>
      </c>
      <c r="H117" s="65">
        <f t="shared" si="16"/>
        <v>4</v>
      </c>
      <c r="I117" s="65">
        <v>4</v>
      </c>
      <c r="J117" s="65">
        <v>4</v>
      </c>
      <c r="K117" s="65" t="str">
        <f t="shared" si="13"/>
        <v>Average</v>
      </c>
      <c r="L117" s="12" t="str">
        <f t="shared" si="14"/>
        <v>Medium</v>
      </c>
      <c r="M117" s="70" t="str">
        <f t="shared" si="15"/>
        <v>2B</v>
      </c>
    </row>
    <row r="118" spans="1:13" x14ac:dyDescent="0.25">
      <c r="A118" s="76">
        <v>10860</v>
      </c>
      <c r="B118" s="12" t="s">
        <v>379</v>
      </c>
      <c r="C118" s="67" t="str">
        <f>_xlfn.XLOOKUP(A118,Table8[Employee Number],Table8[Joining Date],"")</f>
        <v>01/11/2023</v>
      </c>
      <c r="D118" s="12" t="s">
        <v>586</v>
      </c>
      <c r="E118" s="12" t="s">
        <v>569</v>
      </c>
      <c r="F118" s="12" t="s">
        <v>381</v>
      </c>
      <c r="G118" s="12" t="s">
        <v>382</v>
      </c>
      <c r="H118" s="65">
        <f t="shared" si="16"/>
        <v>4.4000000000000004</v>
      </c>
      <c r="I118" s="65">
        <v>4.5</v>
      </c>
      <c r="J118" s="65">
        <v>4.3</v>
      </c>
      <c r="K118" s="65" t="str">
        <f t="shared" si="13"/>
        <v>High</v>
      </c>
      <c r="L118" s="12" t="str">
        <f t="shared" si="14"/>
        <v>Medium</v>
      </c>
      <c r="M118" s="70" t="str">
        <f t="shared" si="15"/>
        <v>2C</v>
      </c>
    </row>
    <row r="119" spans="1:13" x14ac:dyDescent="0.25">
      <c r="A119" s="76">
        <v>31430</v>
      </c>
      <c r="B119" s="12" t="s">
        <v>292</v>
      </c>
      <c r="C119" s="67" t="str">
        <f>_xlfn.XLOOKUP(A119,Table8[Employee Number],Table8[Joining Date],"")</f>
        <v>11/04/2022</v>
      </c>
      <c r="D119" s="12" t="s">
        <v>585</v>
      </c>
      <c r="E119" s="12" t="s">
        <v>564</v>
      </c>
      <c r="F119" s="12" t="s">
        <v>457</v>
      </c>
      <c r="G119" s="12" t="s">
        <v>458</v>
      </c>
      <c r="H119" s="65">
        <f t="shared" si="16"/>
        <v>4.8</v>
      </c>
      <c r="I119" s="65">
        <v>4.8</v>
      </c>
      <c r="J119" s="65">
        <v>4.8</v>
      </c>
      <c r="K119" s="65" t="str">
        <f t="shared" si="13"/>
        <v>High</v>
      </c>
      <c r="L119" s="12" t="str">
        <f t="shared" si="14"/>
        <v>High</v>
      </c>
      <c r="M119" s="70" t="str">
        <f t="shared" si="15"/>
        <v>3C</v>
      </c>
    </row>
    <row r="120" spans="1:13" x14ac:dyDescent="0.25">
      <c r="A120" s="76">
        <v>47406</v>
      </c>
      <c r="B120" s="12" t="s">
        <v>372</v>
      </c>
      <c r="C120" s="67" t="str">
        <f>_xlfn.XLOOKUP(A120,Table8[Employee Number],Table8[Joining Date],"")</f>
        <v>01/03/2023</v>
      </c>
      <c r="D120" s="12" t="s">
        <v>586</v>
      </c>
      <c r="E120" s="12" t="s">
        <v>558</v>
      </c>
      <c r="F120" s="12" t="s">
        <v>327</v>
      </c>
      <c r="G120" s="12" t="s">
        <v>316</v>
      </c>
      <c r="H120" s="65">
        <f t="shared" si="16"/>
        <v>3.6</v>
      </c>
      <c r="I120" s="65">
        <v>3.5</v>
      </c>
      <c r="J120" s="65">
        <v>3.7</v>
      </c>
      <c r="K120" s="65" t="str">
        <f t="shared" si="13"/>
        <v>Average</v>
      </c>
      <c r="L120" s="12" t="str">
        <f t="shared" si="14"/>
        <v>Medium</v>
      </c>
      <c r="M120" s="70" t="str">
        <f t="shared" si="15"/>
        <v>2B</v>
      </c>
    </row>
    <row r="121" spans="1:13" x14ac:dyDescent="0.25">
      <c r="A121" s="76">
        <v>47994</v>
      </c>
      <c r="B121" s="12" t="s">
        <v>142</v>
      </c>
      <c r="C121" s="67" t="str">
        <f>_xlfn.XLOOKUP(A121,Table8[Employee Number],Table8[Joining Date],"")</f>
        <v>20/08/2023</v>
      </c>
      <c r="D121" s="12" t="s">
        <v>585</v>
      </c>
      <c r="E121" s="12" t="s">
        <v>556</v>
      </c>
      <c r="F121" s="12" t="s">
        <v>103</v>
      </c>
      <c r="G121" s="12" t="s">
        <v>127</v>
      </c>
      <c r="H121" s="65">
        <f t="shared" si="16"/>
        <v>4.25</v>
      </c>
      <c r="I121" s="65">
        <v>4</v>
      </c>
      <c r="J121" s="65">
        <v>4.5</v>
      </c>
      <c r="K121" s="65" t="str">
        <f t="shared" si="13"/>
        <v>Average</v>
      </c>
      <c r="L121" s="12" t="str">
        <f t="shared" si="14"/>
        <v>High</v>
      </c>
      <c r="M121" s="70" t="str">
        <f t="shared" si="15"/>
        <v>3B</v>
      </c>
    </row>
    <row r="122" spans="1:13" x14ac:dyDescent="0.25">
      <c r="A122" s="76">
        <v>6548</v>
      </c>
      <c r="B122" s="12" t="s">
        <v>319</v>
      </c>
      <c r="C122" s="67" t="str">
        <f>_xlfn.XLOOKUP(A122,Table8[Employee Number],Table8[Joining Date],"")</f>
        <v>01/06/2022</v>
      </c>
      <c r="D122" s="12" t="s">
        <v>587</v>
      </c>
      <c r="E122" s="12" t="s">
        <v>558</v>
      </c>
      <c r="F122" s="12" t="s">
        <v>467</v>
      </c>
      <c r="G122" s="12" t="s">
        <v>316</v>
      </c>
      <c r="H122" s="65">
        <f t="shared" si="16"/>
        <v>4</v>
      </c>
      <c r="I122" s="65">
        <v>3.7</v>
      </c>
      <c r="J122" s="65">
        <v>4.3</v>
      </c>
      <c r="K122" s="65" t="str">
        <f t="shared" si="13"/>
        <v>Average</v>
      </c>
      <c r="L122" s="12" t="str">
        <f t="shared" si="14"/>
        <v>Medium</v>
      </c>
      <c r="M122" s="70" t="str">
        <f t="shared" si="15"/>
        <v>2B</v>
      </c>
    </row>
    <row r="123" spans="1:13" x14ac:dyDescent="0.25">
      <c r="A123" s="76">
        <v>6587</v>
      </c>
      <c r="B123" s="12" t="s">
        <v>374</v>
      </c>
      <c r="C123" s="67" t="str">
        <f>_xlfn.XLOOKUP(A123,Table8[Employee Number],Table8[Joining Date],"")</f>
        <v>26/02/2024</v>
      </c>
      <c r="D123" s="12" t="s">
        <v>586</v>
      </c>
      <c r="E123" s="12" t="s">
        <v>558</v>
      </c>
      <c r="F123" s="12" t="s">
        <v>332</v>
      </c>
      <c r="G123" s="12" t="s">
        <v>333</v>
      </c>
      <c r="H123" s="65">
        <f t="shared" si="16"/>
        <v>4</v>
      </c>
      <c r="I123" s="65">
        <v>4</v>
      </c>
      <c r="J123" s="65">
        <v>4</v>
      </c>
      <c r="K123" s="65" t="str">
        <f t="shared" si="13"/>
        <v>Average</v>
      </c>
      <c r="L123" s="12" t="str">
        <f t="shared" si="14"/>
        <v>Medium</v>
      </c>
      <c r="M123" s="70" t="str">
        <f t="shared" si="15"/>
        <v>2B</v>
      </c>
    </row>
    <row r="124" spans="1:13" x14ac:dyDescent="0.25">
      <c r="A124" s="76">
        <v>10830</v>
      </c>
      <c r="B124" s="12" t="s">
        <v>302</v>
      </c>
      <c r="C124" s="67" t="str">
        <f>_xlfn.XLOOKUP(A124,Table8[Employee Number],Table8[Joining Date],"")</f>
        <v>10/01/2021</v>
      </c>
      <c r="D124" s="12" t="s">
        <v>586</v>
      </c>
      <c r="E124" s="12" t="s">
        <v>564</v>
      </c>
      <c r="F124" s="12" t="s">
        <v>291</v>
      </c>
      <c r="G124" s="12" t="s">
        <v>458</v>
      </c>
      <c r="H124" s="65">
        <f t="shared" si="16"/>
        <v>4.7</v>
      </c>
      <c r="I124" s="65">
        <v>4.9000000000000004</v>
      </c>
      <c r="J124" s="65">
        <v>4.5</v>
      </c>
      <c r="K124" s="65" t="str">
        <f t="shared" si="13"/>
        <v>High</v>
      </c>
      <c r="L124" s="12" t="str">
        <f t="shared" si="14"/>
        <v>High</v>
      </c>
      <c r="M124" s="70" t="str">
        <f t="shared" si="15"/>
        <v>3C</v>
      </c>
    </row>
    <row r="125" spans="1:13" x14ac:dyDescent="0.25">
      <c r="A125" s="76">
        <v>31249</v>
      </c>
      <c r="B125" s="12" t="s">
        <v>286</v>
      </c>
      <c r="C125" s="67" t="str">
        <f>_xlfn.XLOOKUP(A125,Table8[Employee Number],Table8[Joining Date],"")</f>
        <v>01/05/2021</v>
      </c>
      <c r="D125" s="12" t="s">
        <v>585</v>
      </c>
      <c r="E125" s="12" t="s">
        <v>557</v>
      </c>
      <c r="F125" s="12" t="s">
        <v>288</v>
      </c>
      <c r="G125" s="12" t="s">
        <v>283</v>
      </c>
      <c r="H125" s="65">
        <f t="shared" si="16"/>
        <v>4.4000000000000004</v>
      </c>
      <c r="I125" s="65">
        <v>4.3</v>
      </c>
      <c r="J125" s="65">
        <v>4.5</v>
      </c>
      <c r="K125" s="65" t="str">
        <f t="shared" si="13"/>
        <v>High</v>
      </c>
      <c r="L125" s="12" t="str">
        <f t="shared" si="14"/>
        <v>High</v>
      </c>
      <c r="M125" s="70" t="str">
        <f t="shared" si="15"/>
        <v>3C</v>
      </c>
    </row>
    <row r="126" spans="1:13" x14ac:dyDescent="0.25">
      <c r="A126" s="76">
        <v>47527</v>
      </c>
      <c r="B126" s="12" t="s">
        <v>376</v>
      </c>
      <c r="C126" s="67" t="str">
        <f>_xlfn.XLOOKUP(A126,Table8[Employee Number],Table8[Joining Date],"")</f>
        <v>03/04/2023</v>
      </c>
      <c r="D126" s="12" t="s">
        <v>586</v>
      </c>
      <c r="E126" s="12" t="s">
        <v>558</v>
      </c>
      <c r="F126" s="12" t="s">
        <v>332</v>
      </c>
      <c r="G126" s="12" t="s">
        <v>333</v>
      </c>
      <c r="H126" s="65">
        <f t="shared" si="16"/>
        <v>4.25</v>
      </c>
      <c r="I126" s="65">
        <v>4.2</v>
      </c>
      <c r="J126" s="65">
        <v>4.3</v>
      </c>
      <c r="K126" s="65" t="str">
        <f t="shared" si="13"/>
        <v>Average</v>
      </c>
      <c r="L126" s="12" t="str">
        <f t="shared" si="14"/>
        <v>Medium</v>
      </c>
      <c r="M126" s="70" t="str">
        <f t="shared" si="15"/>
        <v>2B</v>
      </c>
    </row>
    <row r="127" spans="1:13" x14ac:dyDescent="0.25">
      <c r="A127" s="76">
        <v>47725</v>
      </c>
      <c r="B127" s="12" t="s">
        <v>185</v>
      </c>
      <c r="C127" s="67" t="str">
        <f>_xlfn.XLOOKUP(A127,Table8[Employee Number],Table8[Joining Date],"")</f>
        <v>04/09/2023</v>
      </c>
      <c r="D127" s="12" t="s">
        <v>586</v>
      </c>
      <c r="E127" s="12" t="s">
        <v>570</v>
      </c>
      <c r="F127" s="12" t="s">
        <v>186</v>
      </c>
      <c r="G127" s="12" t="s">
        <v>571</v>
      </c>
      <c r="H127" s="65">
        <f t="shared" si="16"/>
        <v>1.75</v>
      </c>
      <c r="I127" s="65">
        <v>0</v>
      </c>
      <c r="J127" s="65">
        <v>3.5</v>
      </c>
      <c r="K127" s="65" t="str">
        <f t="shared" si="13"/>
        <v>Poor</v>
      </c>
      <c r="L127" s="12" t="str">
        <f t="shared" si="14"/>
        <v>Medium</v>
      </c>
      <c r="M127" s="70" t="str">
        <f t="shared" si="15"/>
        <v>2A</v>
      </c>
    </row>
    <row r="128" spans="1:13" x14ac:dyDescent="0.25">
      <c r="A128" s="76">
        <v>6553</v>
      </c>
      <c r="B128" s="12" t="s">
        <v>69</v>
      </c>
      <c r="C128" s="67" t="str">
        <f>_xlfn.XLOOKUP(A128,Table8[Employee Number],Table8[Joining Date],"")</f>
        <v>01/06/2022</v>
      </c>
      <c r="D128" s="12" t="s">
        <v>587</v>
      </c>
      <c r="E128" s="12" t="s">
        <v>559</v>
      </c>
      <c r="F128" s="12" t="s">
        <v>396</v>
      </c>
      <c r="G128" s="12" t="s">
        <v>55</v>
      </c>
      <c r="H128" s="65">
        <f t="shared" si="16"/>
        <v>4.1500000000000004</v>
      </c>
      <c r="I128" s="65">
        <v>4.3</v>
      </c>
      <c r="J128" s="65">
        <v>4</v>
      </c>
      <c r="K128" s="65" t="str">
        <f t="shared" si="13"/>
        <v>Average</v>
      </c>
      <c r="L128" s="12" t="str">
        <f t="shared" si="14"/>
        <v>Medium</v>
      </c>
      <c r="M128" s="70" t="str">
        <f t="shared" si="15"/>
        <v>2B</v>
      </c>
    </row>
    <row r="129" spans="1:13" x14ac:dyDescent="0.25">
      <c r="A129" s="84">
        <v>31216</v>
      </c>
      <c r="B129" s="18" t="s">
        <v>121</v>
      </c>
      <c r="C129" s="67" t="str">
        <f>_xlfn.XLOOKUP(A129,Table8[Employee Number],Table8[Joining Date],"")</f>
        <v>07/01/2021</v>
      </c>
      <c r="D129" s="18" t="s">
        <v>585</v>
      </c>
      <c r="E129" s="18" t="s">
        <v>556</v>
      </c>
      <c r="F129" s="18" t="s">
        <v>150</v>
      </c>
      <c r="G129" s="18" t="s">
        <v>563</v>
      </c>
      <c r="H129" s="62">
        <f t="shared" si="16"/>
        <v>2.35</v>
      </c>
      <c r="I129" s="62">
        <v>0</v>
      </c>
      <c r="J129" s="62">
        <v>4.7</v>
      </c>
      <c r="K129" s="62" t="str">
        <f t="shared" si="13"/>
        <v>Poor</v>
      </c>
      <c r="L129" s="18" t="str">
        <f t="shared" si="14"/>
        <v>High</v>
      </c>
      <c r="M129" s="85" t="str">
        <f t="shared" si="15"/>
        <v>3A</v>
      </c>
    </row>
  </sheetData>
  <mergeCells count="4">
    <mergeCell ref="K2:L2"/>
    <mergeCell ref="H2:I2"/>
    <mergeCell ref="B3:B5"/>
    <mergeCell ref="D7:F7"/>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586C-A6E3-4C20-BC7D-6E304596588B}">
  <dimension ref="B12:S43"/>
  <sheetViews>
    <sheetView showGridLines="0" topLeftCell="A5" zoomScale="90" zoomScaleNormal="90" workbookViewId="0">
      <selection activeCell="N37" sqref="N37"/>
    </sheetView>
  </sheetViews>
  <sheetFormatPr defaultRowHeight="15" x14ac:dyDescent="0.25"/>
  <cols>
    <col min="2" max="2" width="5.42578125" bestFit="1" customWidth="1"/>
    <col min="3" max="3" width="22.7109375" customWidth="1"/>
    <col min="4" max="4" width="4.85546875" bestFit="1" customWidth="1"/>
    <col min="5" max="5" width="22.7109375" customWidth="1"/>
    <col min="6" max="6" width="4.7109375" bestFit="1" customWidth="1"/>
    <col min="7" max="7" width="22.7109375" customWidth="1"/>
    <col min="8" max="8" width="1.7109375" customWidth="1"/>
    <col min="9" max="9" width="22.7109375" customWidth="1"/>
    <col min="10" max="10" width="1.7109375" customWidth="1"/>
    <col min="11" max="11" width="22.7109375" customWidth="1"/>
    <col min="12" max="12" width="1.7109375" customWidth="1"/>
    <col min="13" max="13" width="18.7109375" customWidth="1"/>
    <col min="14" max="14" width="56.85546875" customWidth="1"/>
    <col min="17" max="17" width="19.140625" bestFit="1" customWidth="1"/>
    <col min="18" max="18" width="39.5703125" bestFit="1" customWidth="1"/>
    <col min="19" max="20" width="253.85546875" bestFit="1" customWidth="1"/>
  </cols>
  <sheetData>
    <row r="12" spans="2:14" ht="15" customHeight="1" x14ac:dyDescent="0.25">
      <c r="B12" s="106" t="s">
        <v>581</v>
      </c>
      <c r="C12" s="107"/>
      <c r="D12" s="107"/>
      <c r="E12" s="107"/>
      <c r="F12" s="107"/>
      <c r="G12" s="107"/>
      <c r="H12" s="107"/>
      <c r="I12" s="107"/>
      <c r="J12" s="107"/>
      <c r="K12" s="107"/>
      <c r="L12" s="107"/>
      <c r="M12" s="107"/>
      <c r="N12" s="107"/>
    </row>
    <row r="13" spans="2:14" ht="15" customHeight="1" x14ac:dyDescent="0.25">
      <c r="B13" s="108"/>
      <c r="C13" s="108"/>
      <c r="D13" s="108"/>
      <c r="E13" s="108"/>
      <c r="F13" s="108"/>
      <c r="G13" s="108"/>
      <c r="H13" s="108"/>
      <c r="I13" s="108"/>
      <c r="J13" s="108"/>
      <c r="K13" s="108"/>
      <c r="L13" s="108"/>
      <c r="M13" s="108"/>
      <c r="N13" s="108"/>
    </row>
    <row r="14" spans="2:14" ht="17.25" x14ac:dyDescent="0.25">
      <c r="B14" s="109"/>
      <c r="C14" s="109"/>
      <c r="D14" s="109"/>
      <c r="E14" s="109"/>
      <c r="F14" s="109"/>
      <c r="G14" s="109"/>
      <c r="H14" s="109"/>
      <c r="I14" s="109"/>
      <c r="J14" s="109"/>
      <c r="K14" s="109"/>
      <c r="L14" s="109"/>
      <c r="M14" s="109"/>
      <c r="N14" s="109"/>
    </row>
    <row r="15" spans="2:14" ht="21" x14ac:dyDescent="0.25">
      <c r="B15" s="110"/>
      <c r="C15" s="110"/>
      <c r="D15" s="110"/>
      <c r="E15" s="110"/>
      <c r="F15" s="110"/>
      <c r="G15" s="110"/>
      <c r="H15" s="110"/>
      <c r="I15" s="110"/>
      <c r="J15" s="110"/>
      <c r="K15" s="110"/>
      <c r="L15" s="110"/>
      <c r="M15" s="110"/>
      <c r="N15" s="110"/>
    </row>
    <row r="16" spans="2:14" x14ac:dyDescent="0.25">
      <c r="B16" s="107"/>
      <c r="C16" s="107"/>
      <c r="D16" s="107"/>
      <c r="E16" s="107"/>
      <c r="F16" s="107"/>
      <c r="G16" s="107"/>
      <c r="H16" s="107"/>
      <c r="I16" s="107"/>
      <c r="J16" s="107"/>
      <c r="K16" s="107"/>
      <c r="L16" s="107"/>
      <c r="M16" s="107"/>
      <c r="N16" s="107"/>
    </row>
    <row r="17" spans="2:19" x14ac:dyDescent="0.25">
      <c r="B17" s="108"/>
      <c r="C17" s="108"/>
      <c r="D17" s="108"/>
      <c r="E17" s="108"/>
      <c r="F17" s="108"/>
      <c r="G17" s="108"/>
      <c r="H17" s="108"/>
      <c r="I17" s="108"/>
      <c r="J17" s="108"/>
      <c r="K17" s="108"/>
      <c r="L17" s="108"/>
      <c r="M17" s="108"/>
      <c r="N17" s="108"/>
    </row>
    <row r="18" spans="2:19" x14ac:dyDescent="0.25">
      <c r="B18" s="5"/>
      <c r="C18" s="6"/>
      <c r="D18" s="6"/>
      <c r="E18" s="6"/>
      <c r="F18" s="6"/>
      <c r="G18" s="6"/>
      <c r="H18" s="6"/>
      <c r="I18" s="6"/>
      <c r="J18" s="6"/>
      <c r="K18" s="6"/>
      <c r="L18" s="6"/>
      <c r="M18" s="6"/>
      <c r="N18" s="7"/>
    </row>
    <row r="19" spans="2:19" x14ac:dyDescent="0.25">
      <c r="B19" s="5"/>
      <c r="C19" s="6"/>
      <c r="D19" s="6"/>
      <c r="E19" s="6"/>
      <c r="F19" s="6"/>
      <c r="G19" s="6"/>
      <c r="H19" s="6"/>
      <c r="I19" s="6"/>
      <c r="J19" s="6"/>
      <c r="K19" s="6"/>
      <c r="L19" s="6"/>
      <c r="M19" s="6"/>
      <c r="N19" s="7"/>
      <c r="P19" s="8" t="s">
        <v>468</v>
      </c>
      <c r="Q19" s="9" t="s">
        <v>469</v>
      </c>
      <c r="R19" s="9" t="s">
        <v>470</v>
      </c>
      <c r="S19" s="10" t="s">
        <v>471</v>
      </c>
    </row>
    <row r="20" spans="2:19" x14ac:dyDescent="0.25">
      <c r="B20" s="5"/>
      <c r="C20" s="6"/>
      <c r="D20" s="6"/>
      <c r="E20" s="6"/>
      <c r="F20" s="6"/>
      <c r="G20" s="6"/>
      <c r="H20" s="6"/>
      <c r="I20" s="6"/>
      <c r="J20" s="6"/>
      <c r="K20" s="6"/>
      <c r="L20" s="6"/>
      <c r="M20" s="6"/>
      <c r="N20" s="7"/>
      <c r="P20" s="15" t="s">
        <v>496</v>
      </c>
      <c r="Q20" s="15" t="s">
        <v>497</v>
      </c>
      <c r="R20" s="12" t="s">
        <v>498</v>
      </c>
      <c r="S20" s="13" t="s">
        <v>499</v>
      </c>
    </row>
    <row r="21" spans="2:19" x14ac:dyDescent="0.25">
      <c r="B21" s="5"/>
      <c r="C21" s="6"/>
      <c r="D21" s="6"/>
      <c r="E21" s="6"/>
      <c r="F21" s="6"/>
      <c r="G21" s="6"/>
      <c r="H21" s="6"/>
      <c r="I21" s="6"/>
      <c r="J21" s="6"/>
      <c r="K21" s="6"/>
      <c r="L21" s="6"/>
      <c r="M21" s="75" t="s">
        <v>3</v>
      </c>
      <c r="N21" s="7"/>
      <c r="P21" s="16" t="s">
        <v>500</v>
      </c>
      <c r="Q21" s="16" t="s">
        <v>501</v>
      </c>
      <c r="R21" s="12" t="s">
        <v>502</v>
      </c>
      <c r="S21" s="13" t="s">
        <v>503</v>
      </c>
    </row>
    <row r="22" spans="2:19" x14ac:dyDescent="0.25">
      <c r="B22" s="5"/>
      <c r="C22" s="6"/>
      <c r="D22" s="6"/>
      <c r="E22" s="6"/>
      <c r="F22" s="6"/>
      <c r="G22" s="6"/>
      <c r="H22" s="6"/>
      <c r="I22" s="6"/>
      <c r="J22" s="6"/>
      <c r="K22" s="6"/>
      <c r="L22" s="6"/>
      <c r="M22" s="75" t="s">
        <v>4</v>
      </c>
      <c r="N22" s="7"/>
      <c r="P22" s="17" t="s">
        <v>504</v>
      </c>
      <c r="Q22" s="17" t="s">
        <v>505</v>
      </c>
      <c r="R22" s="18" t="s">
        <v>506</v>
      </c>
      <c r="S22" s="19" t="s">
        <v>507</v>
      </c>
    </row>
    <row r="23" spans="2:19" x14ac:dyDescent="0.25">
      <c r="B23" s="5"/>
      <c r="C23" s="6"/>
      <c r="D23" s="6"/>
      <c r="E23" s="6"/>
      <c r="F23" s="6"/>
      <c r="G23" s="6"/>
      <c r="H23" s="6"/>
      <c r="I23" s="6"/>
      <c r="J23" s="6"/>
      <c r="K23" s="6"/>
      <c r="L23" s="6"/>
      <c r="M23" s="6"/>
      <c r="N23" s="7"/>
      <c r="P23" s="14" t="s">
        <v>484</v>
      </c>
      <c r="Q23" s="14" t="s">
        <v>485</v>
      </c>
      <c r="R23" s="12" t="s">
        <v>486</v>
      </c>
      <c r="S23" s="13" t="s">
        <v>487</v>
      </c>
    </row>
    <row r="24" spans="2:19" x14ac:dyDescent="0.25">
      <c r="B24" s="5"/>
      <c r="C24" s="6"/>
      <c r="D24" s="6"/>
      <c r="E24" s="6"/>
      <c r="F24" s="6"/>
      <c r="G24" s="6"/>
      <c r="H24" s="6"/>
      <c r="I24" s="6"/>
      <c r="J24" s="6"/>
      <c r="K24" s="6"/>
      <c r="L24" s="6"/>
      <c r="M24" s="6"/>
      <c r="N24" s="7"/>
      <c r="P24" s="15" t="s">
        <v>488</v>
      </c>
      <c r="Q24" s="15" t="s">
        <v>489</v>
      </c>
      <c r="R24" s="12" t="s">
        <v>490</v>
      </c>
      <c r="S24" s="13" t="s">
        <v>491</v>
      </c>
    </row>
    <row r="25" spans="2:19" x14ac:dyDescent="0.25">
      <c r="B25" s="5"/>
      <c r="C25" s="6"/>
      <c r="D25" s="6"/>
      <c r="E25" s="6"/>
      <c r="F25" s="6"/>
      <c r="G25" s="6"/>
      <c r="H25" s="6"/>
      <c r="I25" s="6"/>
      <c r="J25" s="6"/>
      <c r="K25" s="6"/>
      <c r="L25" s="6"/>
      <c r="M25" s="6"/>
      <c r="N25" s="7"/>
      <c r="P25" s="16" t="s">
        <v>492</v>
      </c>
      <c r="Q25" s="16" t="s">
        <v>493</v>
      </c>
      <c r="R25" s="12" t="s">
        <v>494</v>
      </c>
      <c r="S25" s="13" t="s">
        <v>495</v>
      </c>
    </row>
    <row r="26" spans="2:19" x14ac:dyDescent="0.25">
      <c r="B26" s="5"/>
      <c r="C26" s="6"/>
      <c r="D26" s="6"/>
      <c r="E26" s="6"/>
      <c r="F26" s="6"/>
      <c r="G26" s="6"/>
      <c r="H26" s="6"/>
      <c r="I26" s="6"/>
      <c r="J26" s="6"/>
      <c r="K26" s="6"/>
      <c r="L26" s="6"/>
      <c r="M26" s="6"/>
      <c r="N26" s="7"/>
      <c r="P26" s="11" t="s">
        <v>472</v>
      </c>
      <c r="Q26" s="47" t="s">
        <v>473</v>
      </c>
      <c r="R26" s="12" t="s">
        <v>474</v>
      </c>
      <c r="S26" s="13" t="s">
        <v>475</v>
      </c>
    </row>
    <row r="27" spans="2:19" x14ac:dyDescent="0.25">
      <c r="B27" s="5"/>
      <c r="C27" s="6"/>
      <c r="D27" s="6"/>
      <c r="E27" s="6"/>
      <c r="F27" s="6"/>
      <c r="G27" s="6"/>
      <c r="H27" s="6"/>
      <c r="I27" s="6"/>
      <c r="J27" s="6"/>
      <c r="K27" s="6"/>
      <c r="L27" s="6"/>
      <c r="M27" s="6"/>
      <c r="N27" s="7"/>
      <c r="P27" s="14" t="s">
        <v>476</v>
      </c>
      <c r="Q27" s="48" t="s">
        <v>477</v>
      </c>
      <c r="R27" s="12" t="s">
        <v>478</v>
      </c>
      <c r="S27" s="13" t="s">
        <v>479</v>
      </c>
    </row>
    <row r="28" spans="2:19" x14ac:dyDescent="0.25">
      <c r="B28" s="5"/>
      <c r="C28" s="6"/>
      <c r="D28" s="6"/>
      <c r="E28" s="6"/>
      <c r="F28" s="6"/>
      <c r="G28" s="6"/>
      <c r="H28" s="6"/>
      <c r="I28" s="6"/>
      <c r="J28" s="6"/>
      <c r="K28" s="6"/>
      <c r="L28" s="6"/>
      <c r="M28" s="6"/>
      <c r="N28" s="7"/>
      <c r="P28" s="71" t="s">
        <v>480</v>
      </c>
      <c r="Q28" s="72" t="s">
        <v>481</v>
      </c>
      <c r="R28" s="18" t="s">
        <v>482</v>
      </c>
      <c r="S28" s="19" t="s">
        <v>483</v>
      </c>
    </row>
    <row r="29" spans="2:19" x14ac:dyDescent="0.25">
      <c r="B29" s="5"/>
      <c r="C29" s="6"/>
      <c r="D29" s="6"/>
      <c r="E29" s="6"/>
      <c r="F29" s="6"/>
      <c r="G29" s="6"/>
      <c r="H29" s="6"/>
      <c r="I29" s="6"/>
      <c r="J29" s="6"/>
      <c r="K29" s="6"/>
      <c r="L29" s="6"/>
      <c r="M29" s="6"/>
      <c r="N29" s="7"/>
    </row>
    <row r="30" spans="2:19" x14ac:dyDescent="0.25">
      <c r="B30" s="5"/>
      <c r="C30" s="6"/>
      <c r="D30" s="6"/>
      <c r="E30" s="6"/>
      <c r="F30" s="6"/>
      <c r="G30" s="6"/>
      <c r="H30" s="6"/>
      <c r="I30" s="6"/>
      <c r="J30" s="6"/>
      <c r="K30" s="6"/>
      <c r="L30" s="6"/>
      <c r="M30" s="6"/>
      <c r="N30" s="7"/>
    </row>
    <row r="31" spans="2:19" x14ac:dyDescent="0.25">
      <c r="B31" s="5"/>
      <c r="C31" s="6"/>
      <c r="D31" s="6"/>
      <c r="E31" s="6"/>
      <c r="F31" s="6"/>
      <c r="G31" s="6"/>
      <c r="H31" s="6"/>
      <c r="I31" s="6"/>
      <c r="J31" s="6"/>
      <c r="K31" s="6"/>
      <c r="L31" s="6"/>
      <c r="M31" s="6"/>
      <c r="N31" s="7"/>
    </row>
    <row r="32" spans="2:19" x14ac:dyDescent="0.25">
      <c r="B32" s="5"/>
      <c r="C32" s="6"/>
      <c r="D32" s="6"/>
      <c r="E32" s="6"/>
      <c r="F32" s="6"/>
      <c r="G32" s="6"/>
      <c r="H32" s="6"/>
      <c r="I32" s="6"/>
      <c r="J32" s="6"/>
      <c r="K32" s="6"/>
      <c r="L32" s="6"/>
      <c r="M32" s="6"/>
      <c r="N32" s="7"/>
    </row>
    <row r="33" spans="2:14" x14ac:dyDescent="0.25">
      <c r="B33" s="5"/>
      <c r="C33" s="6"/>
      <c r="D33" s="6"/>
      <c r="E33" s="6"/>
      <c r="F33" s="6"/>
      <c r="G33" s="6"/>
      <c r="H33" s="6"/>
      <c r="I33" s="6"/>
      <c r="J33" s="6"/>
      <c r="K33" s="6"/>
      <c r="L33" s="6"/>
      <c r="M33" s="6"/>
      <c r="N33" s="7"/>
    </row>
    <row r="34" spans="2:14" x14ac:dyDescent="0.25">
      <c r="B34" s="5"/>
      <c r="C34" s="6"/>
      <c r="D34" s="6"/>
      <c r="E34" s="6"/>
      <c r="F34" s="6"/>
      <c r="G34" s="6"/>
      <c r="H34" s="6"/>
      <c r="I34" s="6"/>
      <c r="J34" s="6"/>
      <c r="K34" s="6"/>
      <c r="L34" s="6"/>
      <c r="M34" s="6"/>
      <c r="N34" s="7"/>
    </row>
    <row r="35" spans="2:14" x14ac:dyDescent="0.25">
      <c r="B35" s="5"/>
      <c r="C35" s="6"/>
      <c r="D35" s="6"/>
      <c r="E35" s="6"/>
      <c r="F35" s="6"/>
      <c r="G35" s="6"/>
      <c r="H35" s="6"/>
      <c r="I35" s="6"/>
      <c r="J35" s="6"/>
      <c r="K35" s="6"/>
      <c r="L35" s="6"/>
      <c r="M35" s="6"/>
      <c r="N35" s="7"/>
    </row>
    <row r="36" spans="2:14" x14ac:dyDescent="0.25">
      <c r="B36" s="5"/>
      <c r="C36" s="6"/>
      <c r="D36" s="6"/>
      <c r="E36" s="6"/>
      <c r="F36" s="6"/>
      <c r="G36" s="6"/>
      <c r="H36" s="6"/>
      <c r="I36" s="6"/>
      <c r="J36" s="6"/>
      <c r="K36" s="6"/>
      <c r="L36" s="6"/>
      <c r="M36" s="6"/>
      <c r="N36" s="7"/>
    </row>
    <row r="37" spans="2:14" x14ac:dyDescent="0.25">
      <c r="B37" s="5"/>
      <c r="C37" s="6"/>
      <c r="D37" s="6"/>
      <c r="E37" s="6"/>
      <c r="F37" s="20"/>
      <c r="G37" s="6"/>
      <c r="H37" s="6"/>
      <c r="I37" s="6"/>
      <c r="J37" s="6"/>
      <c r="K37" s="6"/>
      <c r="L37" s="6"/>
      <c r="M37" s="6"/>
      <c r="N37" s="7"/>
    </row>
    <row r="38" spans="2:14" x14ac:dyDescent="0.25">
      <c r="B38" s="5"/>
      <c r="C38" s="6"/>
      <c r="D38" s="6"/>
      <c r="E38" s="6"/>
      <c r="F38" s="20"/>
      <c r="G38" s="6"/>
      <c r="H38" s="6"/>
      <c r="I38" s="6"/>
      <c r="J38" s="6"/>
      <c r="K38" s="6"/>
      <c r="L38" s="6"/>
      <c r="M38" s="6"/>
      <c r="N38" s="7"/>
    </row>
    <row r="39" spans="2:14" x14ac:dyDescent="0.25">
      <c r="B39" s="5"/>
      <c r="C39" s="6"/>
      <c r="D39" s="6"/>
      <c r="E39" s="6"/>
      <c r="F39" s="20"/>
      <c r="G39" s="6"/>
      <c r="H39" s="6"/>
      <c r="I39" s="6"/>
      <c r="J39" s="6"/>
      <c r="K39" s="6"/>
      <c r="L39" s="6"/>
      <c r="M39" s="6"/>
      <c r="N39" s="7"/>
    </row>
    <row r="40" spans="2:14" x14ac:dyDescent="0.25">
      <c r="B40" s="5"/>
      <c r="C40" s="6"/>
      <c r="D40" s="6"/>
      <c r="E40" s="6"/>
      <c r="F40" s="20"/>
      <c r="G40" s="6"/>
      <c r="H40" s="6"/>
      <c r="I40" s="6"/>
      <c r="J40" s="6"/>
      <c r="K40" s="6"/>
      <c r="L40" s="6"/>
      <c r="M40" s="6"/>
      <c r="N40" s="7"/>
    </row>
    <row r="41" spans="2:14" x14ac:dyDescent="0.25">
      <c r="B41" s="21"/>
      <c r="C41" s="22"/>
      <c r="D41" s="22"/>
      <c r="E41" s="22"/>
      <c r="F41" s="22"/>
      <c r="G41" s="22"/>
      <c r="H41" s="22"/>
      <c r="I41" s="22"/>
      <c r="J41" s="22"/>
      <c r="K41" s="22"/>
      <c r="L41" s="22"/>
      <c r="M41" s="22"/>
      <c r="N41" s="23"/>
    </row>
    <row r="42" spans="2:14" x14ac:dyDescent="0.25">
      <c r="B42" s="1"/>
      <c r="C42" s="1"/>
      <c r="D42" s="1"/>
      <c r="E42" s="1"/>
      <c r="F42" s="1"/>
      <c r="G42" s="1"/>
      <c r="H42" s="1"/>
      <c r="I42" s="1"/>
      <c r="J42" s="1"/>
      <c r="K42" s="1"/>
      <c r="L42" s="1"/>
      <c r="M42" s="1"/>
      <c r="N42" s="1"/>
    </row>
    <row r="43" spans="2:14" x14ac:dyDescent="0.25">
      <c r="B43" s="105"/>
      <c r="C43" s="105"/>
      <c r="D43" s="105"/>
      <c r="E43" s="105"/>
      <c r="F43" s="105"/>
      <c r="G43" s="105"/>
      <c r="H43" s="105"/>
      <c r="I43" s="105"/>
      <c r="J43" s="105"/>
      <c r="K43" s="105"/>
      <c r="L43" s="105"/>
      <c r="M43" s="105"/>
      <c r="N43" s="105"/>
    </row>
  </sheetData>
  <mergeCells count="5">
    <mergeCell ref="B43:N43"/>
    <mergeCell ref="B12:N13"/>
    <mergeCell ref="B14:N14"/>
    <mergeCell ref="B15:N15"/>
    <mergeCell ref="B16:N17"/>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B56540B1-9731-4792-A18A-A9AB76C1D201}">
          <x14:formula1>
            <xm:f>'Evalutaion 24'!$D$9:$D$159</xm:f>
          </x14:formula1>
          <xm:sqref>M21</xm:sqref>
        </x14:dataValidation>
        <x14:dataValidation type="list" allowBlank="1" showInputMessage="1" showErrorMessage="1" xr:uid="{A559D3FE-17A7-4F9D-9DE4-8AEF64AC47B0}">
          <x14:formula1>
            <xm:f>'Evalutaion 24'!$E$9:$E$159</xm:f>
          </x14:formula1>
          <xm:sqref>M22</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60D4-18B5-4DA3-A90A-982A1C60FA84}">
  <dimension ref="A2:M159"/>
  <sheetViews>
    <sheetView topLeftCell="B4" zoomScale="85" zoomScaleNormal="85" workbookViewId="0">
      <selection activeCell="M117" sqref="M117"/>
    </sheetView>
  </sheetViews>
  <sheetFormatPr defaultRowHeight="15" x14ac:dyDescent="0.25"/>
  <cols>
    <col min="1" max="1" width="20.5703125" customWidth="1"/>
    <col min="2" max="3" width="49.28515625" bestFit="1" customWidth="1"/>
    <col min="4" max="4" width="12" bestFit="1" customWidth="1"/>
    <col min="5" max="5" width="20.85546875" bestFit="1" customWidth="1"/>
    <col min="6" max="6" width="41.5703125" bestFit="1" customWidth="1"/>
    <col min="7" max="7" width="48.140625" bestFit="1" customWidth="1"/>
    <col min="8" max="8" width="48.140625" customWidth="1"/>
    <col min="9" max="9" width="20.42578125" bestFit="1" customWidth="1"/>
    <col min="10" max="10" width="29.28515625" bestFit="1" customWidth="1"/>
    <col min="11" max="11" width="21.5703125" bestFit="1" customWidth="1"/>
    <col min="12" max="12" width="17.85546875" bestFit="1" customWidth="1"/>
    <col min="13" max="13" width="14.28515625" style="24" bestFit="1" customWidth="1"/>
    <col min="14" max="14" width="10.7109375" bestFit="1" customWidth="1"/>
    <col min="15" max="15" width="6.140625" bestFit="1" customWidth="1"/>
    <col min="16" max="16" width="7.140625" bestFit="1" customWidth="1"/>
  </cols>
  <sheetData>
    <row r="2" spans="1:13" x14ac:dyDescent="0.25">
      <c r="C2" s="93" t="s">
        <v>577</v>
      </c>
      <c r="D2" s="54" t="s">
        <v>529</v>
      </c>
      <c r="E2" s="51" cm="1">
        <f t="array" aca="1" ref="E2" ca="1">SUMPRODUCT(SUBTOTAL(103,OFFSET('Evalutaion 24'!$M$2,ROW('Evalutaion 24'!$M$2:$M$500)-ROW('Evalutaion 24'!$M$2),0))*('Evalutaion 24'!$M$2:$M$500="3A"))</f>
        <v>0</v>
      </c>
      <c r="F2" s="51" cm="1">
        <f t="array" aca="1" ref="F2" ca="1">SUMPRODUCT(SUBTOTAL(103,OFFSET('Evalutaion 24'!$M$2,ROW('Evalutaion 24'!$M$2:$M$500)-ROW('Evalutaion 24'!$M$2),0))*('Evalutaion 24'!$M$2:$M$500="3B"))</f>
        <v>1</v>
      </c>
      <c r="G2" s="52" cm="1">
        <f t="array" aca="1" ref="G2" ca="1">SUMPRODUCT(SUBTOTAL(103,OFFSET('Evalutaion 24'!$M$2,ROW('Evalutaion 24'!$M$2:$M$500)-ROW('Evalutaion 24'!$M$2),0))*('Evalutaion 24'!$M$2:$M$500="3C"))</f>
        <v>36</v>
      </c>
      <c r="H2" s="99" t="s">
        <v>533</v>
      </c>
      <c r="I2" s="100"/>
      <c r="K2" s="101" t="s">
        <v>580</v>
      </c>
      <c r="L2" s="101"/>
    </row>
    <row r="3" spans="1:13" x14ac:dyDescent="0.25">
      <c r="C3" s="94"/>
      <c r="D3" s="55" t="s">
        <v>576</v>
      </c>
      <c r="E3" s="25" cm="1">
        <f t="array" aca="1" ref="E3" ca="1">SUMPRODUCT(SUBTOTAL(103,OFFSET('Evalutaion 24'!$M$2,ROW('Evalutaion 24'!$M$2:$M$500)-ROW('Evalutaion 24'!$M$2),0))*('Evalutaion 24'!$M$2:$M$500="2A"))</f>
        <v>16</v>
      </c>
      <c r="F3" s="25" cm="1">
        <f t="array" aca="1" ref="F3" ca="1">SUMPRODUCT(SUBTOTAL(103,OFFSET('Evalutaion 24'!$M$2,ROW('Evalutaion 24'!$M$2:$M$500)-ROW('Evalutaion 24'!$M$2),0))*('Evalutaion 24'!$M$2:$M$500="2B"))</f>
        <v>84</v>
      </c>
      <c r="G3" s="53" cm="1">
        <f t="array" aca="1" ref="G3" ca="1">SUMPRODUCT(SUBTOTAL(103,OFFSET('Evalutaion 24'!$M$2,ROW('Evalutaion 24'!$M$2:$M$500)-ROW('Evalutaion 24'!$M$2),0))*('Evalutaion 24'!$M$2:$M$500="2C"))</f>
        <v>2</v>
      </c>
      <c r="H3" s="40" t="s">
        <v>516</v>
      </c>
      <c r="I3" s="40">
        <v>3.4</v>
      </c>
      <c r="K3" s="65" t="s">
        <v>579</v>
      </c>
      <c r="L3" s="65">
        <v>3</v>
      </c>
    </row>
    <row r="4" spans="1:13" x14ac:dyDescent="0.25">
      <c r="C4" s="95"/>
      <c r="D4" s="56" t="s">
        <v>579</v>
      </c>
      <c r="E4" s="25" cm="1">
        <f t="array" aca="1" ref="E4" ca="1">SUMPRODUCT(SUBTOTAL(103,OFFSET('Evalutaion 24'!$M$2,ROW('Evalutaion 24'!$M$2:$M$500)-ROW('Evalutaion 24'!$M$2),0))*('Evalutaion 24'!$M$2:$M$500="1A"))</f>
        <v>3</v>
      </c>
      <c r="F4" s="25" cm="1">
        <f t="array" aca="1" ref="F4" ca="1">SUMPRODUCT(SUBTOTAL(103,OFFSET('Evalutaion 24'!$M$2,ROW('Evalutaion 24'!$M$2:$M$500)-ROW('Evalutaion 24'!$M$2),0))*('Evalutaion 24'!$M$2:$M$500="1B"))</f>
        <v>0</v>
      </c>
      <c r="G4" s="53" cm="1">
        <f t="array" aca="1" ref="G4" ca="1">SUMPRODUCT(SUBTOTAL(103,OFFSET('Evalutaion 24'!$M$2,ROW('Evalutaion 24'!$M$2:$M$500)-ROW('Evalutaion 24'!$M$2),0))*('Evalutaion 24'!$M$2:$M$500="1C"))</f>
        <v>0</v>
      </c>
      <c r="H4" s="40" t="s">
        <v>522</v>
      </c>
      <c r="I4" s="40">
        <v>4.4000000000000004</v>
      </c>
      <c r="K4" s="65" t="s">
        <v>576</v>
      </c>
      <c r="L4" s="65">
        <v>4.4000000000000004</v>
      </c>
    </row>
    <row r="5" spans="1:13" x14ac:dyDescent="0.25">
      <c r="E5" s="57" t="s">
        <v>516</v>
      </c>
      <c r="F5" s="58" t="s">
        <v>522</v>
      </c>
      <c r="G5" s="59" t="s">
        <v>529</v>
      </c>
      <c r="H5" s="40" t="s">
        <v>529</v>
      </c>
      <c r="I5" s="40"/>
      <c r="K5" s="65" t="s">
        <v>529</v>
      </c>
      <c r="L5" s="65"/>
    </row>
    <row r="6" spans="1:13" x14ac:dyDescent="0.25">
      <c r="E6" s="96" t="s">
        <v>578</v>
      </c>
      <c r="F6" s="97"/>
      <c r="G6" s="98"/>
    </row>
    <row r="9" spans="1:13" x14ac:dyDescent="0.25">
      <c r="A9" s="77" t="s">
        <v>0</v>
      </c>
      <c r="B9" s="78" t="s">
        <v>1</v>
      </c>
      <c r="C9" s="78" t="s">
        <v>2</v>
      </c>
      <c r="D9" s="78" t="s">
        <v>3</v>
      </c>
      <c r="E9" s="78" t="s">
        <v>4</v>
      </c>
      <c r="F9" s="78" t="s">
        <v>5</v>
      </c>
      <c r="G9" s="78" t="s">
        <v>6</v>
      </c>
      <c r="H9" s="86" t="s">
        <v>7</v>
      </c>
      <c r="I9" s="81" t="s">
        <v>8</v>
      </c>
      <c r="J9" s="82" t="s">
        <v>9</v>
      </c>
      <c r="K9" s="82" t="s">
        <v>10</v>
      </c>
      <c r="L9" s="82" t="s">
        <v>11</v>
      </c>
      <c r="M9" s="83" t="s">
        <v>583</v>
      </c>
    </row>
    <row r="10" spans="1:13" x14ac:dyDescent="0.25">
      <c r="A10" s="76">
        <v>31260</v>
      </c>
      <c r="B10" s="12" t="s">
        <v>12</v>
      </c>
      <c r="C10" s="64" t="str">
        <f>_xlfn.XLOOKUP(A10,Table8[Employee Number],Table8[Joining Date],"")</f>
        <v>29/12/2021</v>
      </c>
      <c r="D10" s="12" t="s">
        <v>585</v>
      </c>
      <c r="E10" s="12" t="s">
        <v>555</v>
      </c>
      <c r="F10" s="12" t="s">
        <v>14</v>
      </c>
      <c r="G10" s="12" t="s">
        <v>16</v>
      </c>
      <c r="H10" s="65">
        <f t="shared" ref="H10:H27" si="0">AVERAGE(J10,I10)</f>
        <v>5</v>
      </c>
      <c r="I10" s="65">
        <v>5</v>
      </c>
      <c r="J10" s="65">
        <v>5</v>
      </c>
      <c r="K10" s="12" t="str">
        <f t="shared" ref="K10:K41" si="1">IF(H10="","",
IF(OR(H10="NR",H10="NA"),"NA",
IF(H10&lt;$I$3,$H$3,
IF(H10&lt;$I$4,$H$4,$H$5)
)))</f>
        <v>High</v>
      </c>
      <c r="L10" s="12" t="str">
        <f t="shared" ref="L10:L41" si="2">IF(J10="","",
IF(OR(J10="NR",J10="NA"),"NA",
IF(J10&lt;$L$3,$K$3,
IF(J10&lt;$L$4,$K$4,$K$5)
)))</f>
        <v>High</v>
      </c>
      <c r="M10" s="70" t="str">
        <f>IF(OR(K10="",L10=""),"",
IF(AND(K10=$H$5,L10=$K$5),"3C",
IF(AND(K10=$H$4,L10=$K$5),"3B",
IF(AND(K10=$H$3,L10=$K$5),"3A",
IF(AND(K10=$H$5,L10=$K$4),"2C",
IF(AND(K10=$H$4,L10=$K$4),"2B",
IF(AND(K10=$H$3,L10=$K$4),"2A",
IF(AND(K10=$H$5,L10=$K$3),"1C",
IF(AND(K10=$H$4,L10=$K$3),"1B",
IF(AND(K10=$H$3,L10=$K$3),"1A","")
)))))))))</f>
        <v>3C</v>
      </c>
    </row>
    <row r="11" spans="1:13" x14ac:dyDescent="0.25">
      <c r="A11" s="76">
        <v>4756</v>
      </c>
      <c r="B11" s="12" t="s">
        <v>144</v>
      </c>
      <c r="C11" s="64" t="str">
        <f>_xlfn.XLOOKUP(A11,Table8[Employee Number],Table8[Joining Date],"")</f>
        <v>01/01/2021</v>
      </c>
      <c r="D11" s="12" t="s">
        <v>586</v>
      </c>
      <c r="E11" s="12" t="s">
        <v>556</v>
      </c>
      <c r="F11" s="12" t="s">
        <v>146</v>
      </c>
      <c r="G11" s="12" t="s">
        <v>147</v>
      </c>
      <c r="H11" s="65">
        <f t="shared" si="0"/>
        <v>4.0999999999999996</v>
      </c>
      <c r="I11" s="65">
        <v>4.4000000000000004</v>
      </c>
      <c r="J11" s="65">
        <v>3.8</v>
      </c>
      <c r="K11" s="12" t="str">
        <f t="shared" si="1"/>
        <v>Average</v>
      </c>
      <c r="L11" s="12" t="str">
        <f t="shared" si="2"/>
        <v>Medium</v>
      </c>
      <c r="M11" s="70" t="str">
        <f t="shared" ref="M11:M41" si="3">IF(OR(K11="",L11=""),"",
IF(AND(K11=$H$5,L11=$K$5),"3C",
IF(AND(K11=$H$4,L11=$K$5),"3B",
IF(AND(K11=$H$3,L11=$K$5),"3A",
IF(AND(K11=$H$5,L11=$K$4),"2C",
IF(AND(K11=$H$4,L11=$K$4),"2B",
IF(AND(K11=$H$3,L11=$K$4),"2A",
IF(AND(K11=$H$5,L11=$K$3),"1C",
IF(AND(K11=$H$4,L11=$K$3),"1B",
IF(AND(K11=$H$3,L11=$K$3),"1A","")
)))))))))</f>
        <v>2B</v>
      </c>
    </row>
    <row r="12" spans="1:13" x14ac:dyDescent="0.25">
      <c r="A12" s="76">
        <v>48121</v>
      </c>
      <c r="B12" s="12" t="s">
        <v>271</v>
      </c>
      <c r="C12" s="64" t="str">
        <f>_xlfn.XLOOKUP(A12,Table8[Employee Number],Table8[Joining Date],"")</f>
        <v>25/09/2023</v>
      </c>
      <c r="D12" s="12" t="s">
        <v>585</v>
      </c>
      <c r="E12" s="12" t="s">
        <v>557</v>
      </c>
      <c r="F12" s="12" t="s">
        <v>449</v>
      </c>
      <c r="G12" s="12" t="s">
        <v>283</v>
      </c>
      <c r="H12" s="65">
        <f t="shared" si="0"/>
        <v>3.55</v>
      </c>
      <c r="I12" s="65">
        <v>3.3</v>
      </c>
      <c r="J12" s="65">
        <v>3.8</v>
      </c>
      <c r="K12" s="12" t="str">
        <f t="shared" si="1"/>
        <v>Average</v>
      </c>
      <c r="L12" s="12" t="str">
        <f t="shared" si="2"/>
        <v>Medium</v>
      </c>
      <c r="M12" s="70" t="str">
        <f t="shared" si="3"/>
        <v>2B</v>
      </c>
    </row>
    <row r="13" spans="1:13" x14ac:dyDescent="0.25">
      <c r="A13" s="76">
        <v>10848</v>
      </c>
      <c r="B13" s="12" t="s">
        <v>313</v>
      </c>
      <c r="C13" s="64" t="str">
        <f>_xlfn.XLOOKUP(A13,Table8[Employee Number],Table8[Joining Date],"")</f>
        <v>16/05/2021</v>
      </c>
      <c r="D13" s="12" t="s">
        <v>586</v>
      </c>
      <c r="E13" s="12" t="s">
        <v>558</v>
      </c>
      <c r="F13" s="12" t="s">
        <v>315</v>
      </c>
      <c r="G13" s="12" t="s">
        <v>316</v>
      </c>
      <c r="H13" s="65">
        <f t="shared" si="0"/>
        <v>4.75</v>
      </c>
      <c r="I13" s="65">
        <v>4.8</v>
      </c>
      <c r="J13" s="65">
        <v>4.7</v>
      </c>
      <c r="K13" s="12" t="str">
        <f t="shared" si="1"/>
        <v>High</v>
      </c>
      <c r="L13" s="12" t="str">
        <f t="shared" si="2"/>
        <v>High</v>
      </c>
      <c r="M13" s="70" t="str">
        <f t="shared" si="3"/>
        <v>3C</v>
      </c>
    </row>
    <row r="14" spans="1:13" x14ac:dyDescent="0.25">
      <c r="A14" s="76">
        <v>6557</v>
      </c>
      <c r="B14" s="12" t="s">
        <v>53</v>
      </c>
      <c r="C14" s="64" t="str">
        <f>_xlfn.XLOOKUP(A14,Table8[Employee Number],Table8[Joining Date],"")</f>
        <v>01/06/2022</v>
      </c>
      <c r="D14" s="12" t="s">
        <v>587</v>
      </c>
      <c r="E14" s="12" t="s">
        <v>559</v>
      </c>
      <c r="F14" s="12" t="s">
        <v>54</v>
      </c>
      <c r="G14" s="12" t="s">
        <v>55</v>
      </c>
      <c r="H14" s="65">
        <f t="shared" si="0"/>
        <v>4.1500000000000004</v>
      </c>
      <c r="I14" s="65">
        <v>4</v>
      </c>
      <c r="J14" s="65">
        <v>4.3</v>
      </c>
      <c r="K14" s="12" t="str">
        <f t="shared" si="1"/>
        <v>Average</v>
      </c>
      <c r="L14" s="12" t="str">
        <f t="shared" si="2"/>
        <v>Medium</v>
      </c>
      <c r="M14" s="70" t="str">
        <f t="shared" si="3"/>
        <v>2B</v>
      </c>
    </row>
    <row r="15" spans="1:13" x14ac:dyDescent="0.25">
      <c r="A15" s="76">
        <v>4984</v>
      </c>
      <c r="B15" s="12" t="s">
        <v>170</v>
      </c>
      <c r="C15" s="64" t="str">
        <f>_xlfn.XLOOKUP(A15,Table8[Employee Number],Table8[Joining Date],"")</f>
        <v>24/11/2020</v>
      </c>
      <c r="D15" s="12" t="s">
        <v>586</v>
      </c>
      <c r="E15" s="12" t="s">
        <v>560</v>
      </c>
      <c r="F15" s="12" t="s">
        <v>172</v>
      </c>
      <c r="G15" s="12" t="s">
        <v>29</v>
      </c>
      <c r="H15" s="65">
        <f t="shared" si="0"/>
        <v>5</v>
      </c>
      <c r="I15" s="65">
        <v>5</v>
      </c>
      <c r="J15" s="65">
        <v>5</v>
      </c>
      <c r="K15" s="12" t="str">
        <f t="shared" si="1"/>
        <v>High</v>
      </c>
      <c r="L15" s="12" t="str">
        <f t="shared" si="2"/>
        <v>High</v>
      </c>
      <c r="M15" s="70" t="str">
        <f t="shared" si="3"/>
        <v>3C</v>
      </c>
    </row>
    <row r="16" spans="1:13" x14ac:dyDescent="0.25">
      <c r="A16" s="76">
        <v>10115</v>
      </c>
      <c r="B16" s="12" t="s">
        <v>316</v>
      </c>
      <c r="C16" s="64" t="str">
        <f>_xlfn.XLOOKUP(A16,Table8[Employee Number],Table8[Joining Date],"")</f>
        <v>01/06/2022</v>
      </c>
      <c r="D16" s="12" t="s">
        <v>586</v>
      </c>
      <c r="E16" s="12" t="s">
        <v>558</v>
      </c>
      <c r="F16" s="12" t="s">
        <v>465</v>
      </c>
      <c r="G16" s="12" t="s">
        <v>382</v>
      </c>
      <c r="H16" s="65">
        <f t="shared" si="0"/>
        <v>3.8</v>
      </c>
      <c r="I16" s="65">
        <v>3.6</v>
      </c>
      <c r="J16" s="65">
        <v>4</v>
      </c>
      <c r="K16" s="12" t="str">
        <f t="shared" si="1"/>
        <v>Average</v>
      </c>
      <c r="L16" s="12" t="str">
        <f t="shared" si="2"/>
        <v>Medium</v>
      </c>
      <c r="M16" s="70" t="str">
        <f t="shared" si="3"/>
        <v>2B</v>
      </c>
    </row>
    <row r="17" spans="1:13" x14ac:dyDescent="0.25">
      <c r="A17" s="76">
        <v>48322</v>
      </c>
      <c r="B17" s="12" t="s">
        <v>56</v>
      </c>
      <c r="C17" s="64" t="str">
        <f>_xlfn.XLOOKUP(A17,Table8[Employee Number],Table8[Joining Date],"")</f>
        <v>01/12/2023</v>
      </c>
      <c r="D17" s="12" t="s">
        <v>587</v>
      </c>
      <c r="E17" s="12" t="s">
        <v>559</v>
      </c>
      <c r="F17" s="12" t="s">
        <v>57</v>
      </c>
      <c r="G17" s="12" t="s">
        <v>58</v>
      </c>
      <c r="H17" s="65">
        <f t="shared" si="0"/>
        <v>3.85</v>
      </c>
      <c r="I17" s="65">
        <v>4</v>
      </c>
      <c r="J17" s="65">
        <v>3.7</v>
      </c>
      <c r="K17" s="12" t="str">
        <f t="shared" si="1"/>
        <v>Average</v>
      </c>
      <c r="L17" s="12" t="str">
        <f t="shared" si="2"/>
        <v>Medium</v>
      </c>
      <c r="M17" s="70" t="str">
        <f t="shared" si="3"/>
        <v>2B</v>
      </c>
    </row>
    <row r="18" spans="1:13" x14ac:dyDescent="0.25">
      <c r="A18" s="76">
        <v>6572</v>
      </c>
      <c r="B18" s="12" t="s">
        <v>238</v>
      </c>
      <c r="C18" s="64" t="str">
        <f>_xlfn.XLOOKUP(A18,Table8[Employee Number],Table8[Joining Date],"")</f>
        <v>01/06/2022</v>
      </c>
      <c r="D18" s="12" t="s">
        <v>587</v>
      </c>
      <c r="E18" s="12" t="s">
        <v>561</v>
      </c>
      <c r="F18" s="12" t="s">
        <v>230</v>
      </c>
      <c r="G18" s="12" t="s">
        <v>225</v>
      </c>
      <c r="H18" s="65">
        <f t="shared" si="0"/>
        <v>3.5</v>
      </c>
      <c r="I18" s="65">
        <v>3.5</v>
      </c>
      <c r="J18" s="65">
        <v>3.5</v>
      </c>
      <c r="K18" s="12" t="str">
        <f t="shared" si="1"/>
        <v>Average</v>
      </c>
      <c r="L18" s="12" t="str">
        <f t="shared" si="2"/>
        <v>Medium</v>
      </c>
      <c r="M18" s="70" t="str">
        <f t="shared" si="3"/>
        <v>2B</v>
      </c>
    </row>
    <row r="19" spans="1:13" x14ac:dyDescent="0.25">
      <c r="A19" s="76">
        <v>6609</v>
      </c>
      <c r="B19" s="12" t="s">
        <v>58</v>
      </c>
      <c r="C19" s="64" t="str">
        <f>_xlfn.XLOOKUP(A19,Table8[Employee Number],Table8[Joining Date],"")</f>
        <v>01/06/2022</v>
      </c>
      <c r="D19" s="12" t="s">
        <v>587</v>
      </c>
      <c r="E19" s="12" t="s">
        <v>559</v>
      </c>
      <c r="F19" s="12" t="s">
        <v>387</v>
      </c>
      <c r="G19" s="12" t="s">
        <v>65</v>
      </c>
      <c r="H19" s="65">
        <f t="shared" si="0"/>
        <v>4</v>
      </c>
      <c r="I19" s="65">
        <v>4.3</v>
      </c>
      <c r="J19" s="65">
        <v>3.7</v>
      </c>
      <c r="K19" s="12" t="str">
        <f t="shared" si="1"/>
        <v>Average</v>
      </c>
      <c r="L19" s="12" t="str">
        <f t="shared" si="2"/>
        <v>Medium</v>
      </c>
      <c r="M19" s="70" t="str">
        <f t="shared" si="3"/>
        <v>2B</v>
      </c>
    </row>
    <row r="20" spans="1:13" x14ac:dyDescent="0.25">
      <c r="A20" s="76">
        <v>10853</v>
      </c>
      <c r="B20" s="12" t="s">
        <v>237</v>
      </c>
      <c r="C20" s="64" t="str">
        <f>_xlfn.XLOOKUP(A20,Table8[Employee Number],Table8[Joining Date],"")</f>
        <v>04/07/2021</v>
      </c>
      <c r="D20" s="12" t="s">
        <v>586</v>
      </c>
      <c r="E20" s="12" t="s">
        <v>561</v>
      </c>
      <c r="F20" s="12" t="s">
        <v>427</v>
      </c>
      <c r="G20" s="12" t="s">
        <v>250</v>
      </c>
      <c r="H20" s="65">
        <f t="shared" si="0"/>
        <v>4</v>
      </c>
      <c r="I20" s="65">
        <v>4</v>
      </c>
      <c r="J20" s="65">
        <v>4</v>
      </c>
      <c r="K20" s="12" t="str">
        <f t="shared" si="1"/>
        <v>Average</v>
      </c>
      <c r="L20" s="12" t="str">
        <f t="shared" si="2"/>
        <v>Medium</v>
      </c>
      <c r="M20" s="70" t="str">
        <f t="shared" si="3"/>
        <v>2B</v>
      </c>
    </row>
    <row r="21" spans="1:13" x14ac:dyDescent="0.25">
      <c r="A21" s="76">
        <v>49223</v>
      </c>
      <c r="B21" s="12" t="s">
        <v>289</v>
      </c>
      <c r="C21" s="64" t="str">
        <f>_xlfn.XLOOKUP(A21,Table8[Employee Number],Table8[Joining Date],"")</f>
        <v>05/05/2024</v>
      </c>
      <c r="D21" s="12" t="s">
        <v>585</v>
      </c>
      <c r="E21" s="12" t="s">
        <v>564</v>
      </c>
      <c r="F21" s="12" t="s">
        <v>291</v>
      </c>
      <c r="G21" s="12" t="s">
        <v>292</v>
      </c>
      <c r="H21" s="65">
        <f t="shared" si="0"/>
        <v>4.25</v>
      </c>
      <c r="I21" s="65">
        <v>4.5</v>
      </c>
      <c r="J21" s="65">
        <v>4</v>
      </c>
      <c r="K21" s="12" t="str">
        <f t="shared" si="1"/>
        <v>Average</v>
      </c>
      <c r="L21" s="12" t="str">
        <f t="shared" si="2"/>
        <v>Medium</v>
      </c>
      <c r="M21" s="70" t="str">
        <f t="shared" si="3"/>
        <v>2B</v>
      </c>
    </row>
    <row r="22" spans="1:13" x14ac:dyDescent="0.25">
      <c r="A22" s="76">
        <v>6570</v>
      </c>
      <c r="B22" s="12" t="s">
        <v>320</v>
      </c>
      <c r="C22" s="64" t="str">
        <f>_xlfn.XLOOKUP(A22,Table8[Employee Number],Table8[Joining Date],"")</f>
        <v>01/06/2022</v>
      </c>
      <c r="D22" s="12" t="s">
        <v>587</v>
      </c>
      <c r="E22" s="12" t="s">
        <v>558</v>
      </c>
      <c r="F22" s="12" t="s">
        <v>321</v>
      </c>
      <c r="G22" s="12" t="s">
        <v>319</v>
      </c>
      <c r="H22" s="65">
        <f t="shared" si="0"/>
        <v>3.75</v>
      </c>
      <c r="I22" s="65">
        <v>3.7</v>
      </c>
      <c r="J22" s="65">
        <v>3.8</v>
      </c>
      <c r="K22" s="12" t="str">
        <f t="shared" si="1"/>
        <v>Average</v>
      </c>
      <c r="L22" s="12" t="str">
        <f t="shared" si="2"/>
        <v>Medium</v>
      </c>
      <c r="M22" s="70" t="str">
        <f t="shared" si="3"/>
        <v>2B</v>
      </c>
    </row>
    <row r="23" spans="1:13" x14ac:dyDescent="0.25">
      <c r="A23" s="76">
        <v>6555</v>
      </c>
      <c r="B23" s="12" t="s">
        <v>317</v>
      </c>
      <c r="C23" s="64" t="str">
        <f>_xlfn.XLOOKUP(A23,Table8[Employee Number],Table8[Joining Date],"")</f>
        <v>01/06/2022</v>
      </c>
      <c r="D23" s="12" t="s">
        <v>587</v>
      </c>
      <c r="E23" s="12" t="s">
        <v>558</v>
      </c>
      <c r="F23" s="12" t="s">
        <v>318</v>
      </c>
      <c r="G23" s="12" t="s">
        <v>319</v>
      </c>
      <c r="H23" s="65">
        <f t="shared" si="0"/>
        <v>4.3499999999999996</v>
      </c>
      <c r="I23" s="65">
        <v>4.4000000000000004</v>
      </c>
      <c r="J23" s="65">
        <v>4.3</v>
      </c>
      <c r="K23" s="12" t="str">
        <f t="shared" si="1"/>
        <v>Average</v>
      </c>
      <c r="L23" s="12" t="str">
        <f t="shared" si="2"/>
        <v>Medium</v>
      </c>
      <c r="M23" s="70" t="str">
        <f t="shared" si="3"/>
        <v>2B</v>
      </c>
    </row>
    <row r="24" spans="1:13" x14ac:dyDescent="0.25">
      <c r="A24" s="76">
        <v>6595</v>
      </c>
      <c r="B24" s="12" t="s">
        <v>443</v>
      </c>
      <c r="C24" s="64" t="str">
        <f>_xlfn.XLOOKUP(A24,Table8[Employee Number],Table8[Joining Date],"")</f>
        <v>01/06/2022</v>
      </c>
      <c r="D24" s="12" t="s">
        <v>587</v>
      </c>
      <c r="E24" s="12" t="s">
        <v>562</v>
      </c>
      <c r="F24" s="12" t="s">
        <v>444</v>
      </c>
      <c r="G24" s="12" t="s">
        <v>384</v>
      </c>
      <c r="H24" s="65">
        <f t="shared" si="0"/>
        <v>4.8499999999999996</v>
      </c>
      <c r="I24" s="65">
        <v>4.7</v>
      </c>
      <c r="J24" s="65">
        <v>5</v>
      </c>
      <c r="K24" s="12" t="str">
        <f t="shared" si="1"/>
        <v>High</v>
      </c>
      <c r="L24" s="12" t="str">
        <f t="shared" si="2"/>
        <v>High</v>
      </c>
      <c r="M24" s="70" t="str">
        <f t="shared" si="3"/>
        <v>3C</v>
      </c>
    </row>
    <row r="25" spans="1:13" x14ac:dyDescent="0.25">
      <c r="A25" s="76">
        <v>49579</v>
      </c>
      <c r="B25" s="12" t="s">
        <v>20</v>
      </c>
      <c r="C25" s="64" t="str">
        <f>_xlfn.XLOOKUP(A25,Table8[Employee Number],Table8[Joining Date],"")</f>
        <v>18/08/2024</v>
      </c>
      <c r="D25" s="12" t="s">
        <v>587</v>
      </c>
      <c r="E25" s="12" t="s">
        <v>555</v>
      </c>
      <c r="F25" s="12" t="s">
        <v>22</v>
      </c>
      <c r="G25" s="12" t="s">
        <v>443</v>
      </c>
      <c r="H25" s="65">
        <f t="shared" si="0"/>
        <v>3</v>
      </c>
      <c r="I25" s="65">
        <v>3</v>
      </c>
      <c r="J25" s="65">
        <v>3</v>
      </c>
      <c r="K25" s="12" t="str">
        <f t="shared" si="1"/>
        <v>Poor</v>
      </c>
      <c r="L25" s="12" t="str">
        <f t="shared" si="2"/>
        <v>Medium</v>
      </c>
      <c r="M25" s="70" t="str">
        <f t="shared" si="3"/>
        <v>2A</v>
      </c>
    </row>
    <row r="26" spans="1:13" x14ac:dyDescent="0.25">
      <c r="A26" s="76">
        <v>31428</v>
      </c>
      <c r="B26" s="12" t="s">
        <v>97</v>
      </c>
      <c r="C26" s="64" t="str">
        <f>_xlfn.XLOOKUP(A26,Table8[Employee Number],Table8[Joining Date],"")</f>
        <v>23/01/2022</v>
      </c>
      <c r="D26" s="12" t="s">
        <v>585</v>
      </c>
      <c r="E26" s="12" t="s">
        <v>556</v>
      </c>
      <c r="F26" s="12" t="s">
        <v>99</v>
      </c>
      <c r="G26" s="12" t="s">
        <v>100</v>
      </c>
      <c r="H26" s="65">
        <f t="shared" si="0"/>
        <v>3.4000000000000004</v>
      </c>
      <c r="I26" s="65">
        <v>3.1</v>
      </c>
      <c r="J26" s="65">
        <v>3.7</v>
      </c>
      <c r="K26" s="12" t="str">
        <f t="shared" si="1"/>
        <v>Average</v>
      </c>
      <c r="L26" s="12" t="str">
        <f t="shared" si="2"/>
        <v>Medium</v>
      </c>
      <c r="M26" s="70" t="str">
        <f t="shared" si="3"/>
        <v>2B</v>
      </c>
    </row>
    <row r="27" spans="1:13" x14ac:dyDescent="0.25">
      <c r="A27" s="76">
        <v>47437</v>
      </c>
      <c r="B27" s="12" t="s">
        <v>183</v>
      </c>
      <c r="C27" s="64" t="str">
        <f>_xlfn.XLOOKUP(A27,Table8[Employee Number],Table8[Joining Date],"")</f>
        <v>27/03/2023</v>
      </c>
      <c r="D27" s="12" t="s">
        <v>586</v>
      </c>
      <c r="E27" s="12" t="s">
        <v>560</v>
      </c>
      <c r="F27" s="12" t="s">
        <v>172</v>
      </c>
      <c r="G27" s="12" t="s">
        <v>173</v>
      </c>
      <c r="H27" s="65">
        <f t="shared" si="0"/>
        <v>3.75</v>
      </c>
      <c r="I27" s="65">
        <v>3.8</v>
      </c>
      <c r="J27" s="65">
        <v>3.7</v>
      </c>
      <c r="K27" s="12" t="str">
        <f t="shared" si="1"/>
        <v>Average</v>
      </c>
      <c r="L27" s="12" t="str">
        <f t="shared" si="2"/>
        <v>Medium</v>
      </c>
      <c r="M27" s="70" t="str">
        <f t="shared" si="3"/>
        <v>2B</v>
      </c>
    </row>
    <row r="28" spans="1:13" x14ac:dyDescent="0.25">
      <c r="A28" s="76">
        <v>48064</v>
      </c>
      <c r="B28" s="12" t="s">
        <v>148</v>
      </c>
      <c r="C28" s="64" t="str">
        <f>_xlfn.XLOOKUP(A28,Table8[Employee Number],Table8[Joining Date],"")</f>
        <v>04/09/2023</v>
      </c>
      <c r="D28" s="12" t="s">
        <v>586</v>
      </c>
      <c r="E28" s="12" t="s">
        <v>556</v>
      </c>
      <c r="F28" s="12" t="s">
        <v>150</v>
      </c>
      <c r="G28" s="12" t="s">
        <v>563</v>
      </c>
      <c r="H28" s="65" t="s">
        <v>19</v>
      </c>
      <c r="I28" s="65" t="s">
        <v>19</v>
      </c>
      <c r="J28" s="65" t="s">
        <v>19</v>
      </c>
      <c r="K28" s="12" t="str">
        <f t="shared" si="1"/>
        <v>NA</v>
      </c>
      <c r="L28" s="12" t="str">
        <f t="shared" si="2"/>
        <v>NA</v>
      </c>
      <c r="M28" s="70" t="str">
        <f t="shared" si="3"/>
        <v/>
      </c>
    </row>
    <row r="29" spans="1:13" x14ac:dyDescent="0.25">
      <c r="A29" s="76">
        <v>6571</v>
      </c>
      <c r="B29" s="12" t="s">
        <v>324</v>
      </c>
      <c r="C29" s="64" t="str">
        <f>_xlfn.XLOOKUP(A29,Table8[Employee Number],Table8[Joining Date],"")</f>
        <v>01/06/2022</v>
      </c>
      <c r="D29" s="12" t="s">
        <v>587</v>
      </c>
      <c r="E29" s="12" t="s">
        <v>558</v>
      </c>
      <c r="F29" s="12" t="s">
        <v>321</v>
      </c>
      <c r="G29" s="12" t="s">
        <v>319</v>
      </c>
      <c r="H29" s="65">
        <f t="shared" ref="H29:H70" si="4">AVERAGE(J29,I29)</f>
        <v>3.55</v>
      </c>
      <c r="I29" s="65">
        <v>3.6</v>
      </c>
      <c r="J29" s="65">
        <v>3.5</v>
      </c>
      <c r="K29" s="12" t="str">
        <f t="shared" si="1"/>
        <v>Average</v>
      </c>
      <c r="L29" s="12" t="str">
        <f t="shared" si="2"/>
        <v>Medium</v>
      </c>
      <c r="M29" s="70" t="str">
        <f t="shared" si="3"/>
        <v>2B</v>
      </c>
    </row>
    <row r="30" spans="1:13" x14ac:dyDescent="0.25">
      <c r="A30" s="76">
        <v>6552</v>
      </c>
      <c r="B30" s="12" t="s">
        <v>63</v>
      </c>
      <c r="C30" s="64" t="str">
        <f>_xlfn.XLOOKUP(A30,Table8[Employee Number],Table8[Joining Date],"")</f>
        <v>01/06/2022</v>
      </c>
      <c r="D30" s="12" t="s">
        <v>587</v>
      </c>
      <c r="E30" s="12" t="s">
        <v>559</v>
      </c>
      <c r="F30" s="12" t="s">
        <v>64</v>
      </c>
      <c r="G30" s="12" t="s">
        <v>392</v>
      </c>
      <c r="H30" s="65">
        <f t="shared" si="4"/>
        <v>4.1500000000000004</v>
      </c>
      <c r="I30" s="65">
        <v>4.3</v>
      </c>
      <c r="J30" s="65">
        <v>4</v>
      </c>
      <c r="K30" s="12" t="str">
        <f t="shared" si="1"/>
        <v>Average</v>
      </c>
      <c r="L30" s="12" t="str">
        <f t="shared" si="2"/>
        <v>Medium</v>
      </c>
      <c r="M30" s="70" t="str">
        <f t="shared" si="3"/>
        <v>2B</v>
      </c>
    </row>
    <row r="31" spans="1:13" x14ac:dyDescent="0.25">
      <c r="A31" s="76">
        <v>31257</v>
      </c>
      <c r="B31" s="12" t="s">
        <v>15</v>
      </c>
      <c r="C31" s="64" t="str">
        <f>_xlfn.XLOOKUP(A31,Table8[Employee Number],Table8[Joining Date],"")</f>
        <v>01/11/2021</v>
      </c>
      <c r="D31" s="12" t="s">
        <v>585</v>
      </c>
      <c r="E31" s="12" t="s">
        <v>562</v>
      </c>
      <c r="F31" s="12" t="s">
        <v>446</v>
      </c>
      <c r="G31" s="12" t="s">
        <v>382</v>
      </c>
      <c r="H31" s="65">
        <f t="shared" si="4"/>
        <v>4.5999999999999996</v>
      </c>
      <c r="I31" s="65">
        <v>4.7</v>
      </c>
      <c r="J31" s="65">
        <v>4.5</v>
      </c>
      <c r="K31" s="12" t="str">
        <f t="shared" si="1"/>
        <v>High</v>
      </c>
      <c r="L31" s="12" t="str">
        <f t="shared" si="2"/>
        <v>High</v>
      </c>
      <c r="M31" s="70" t="str">
        <f t="shared" si="3"/>
        <v>3C</v>
      </c>
    </row>
    <row r="32" spans="1:13" x14ac:dyDescent="0.25">
      <c r="A32" s="76">
        <v>6614</v>
      </c>
      <c r="B32" s="12" t="s">
        <v>24</v>
      </c>
      <c r="C32" s="64" t="str">
        <f>_xlfn.XLOOKUP(A32,Table8[Employee Number],Table8[Joining Date],"")</f>
        <v>01/06/2022</v>
      </c>
      <c r="D32" s="12" t="s">
        <v>587</v>
      </c>
      <c r="E32" s="12" t="s">
        <v>555</v>
      </c>
      <c r="F32" s="12" t="s">
        <v>22</v>
      </c>
      <c r="G32" s="12" t="s">
        <v>443</v>
      </c>
      <c r="H32" s="65">
        <f t="shared" si="4"/>
        <v>3</v>
      </c>
      <c r="I32" s="65">
        <v>3</v>
      </c>
      <c r="J32" s="65">
        <v>3</v>
      </c>
      <c r="K32" s="12" t="str">
        <f t="shared" si="1"/>
        <v>Poor</v>
      </c>
      <c r="L32" s="12" t="str">
        <f t="shared" si="2"/>
        <v>Medium</v>
      </c>
      <c r="M32" s="70" t="str">
        <f t="shared" si="3"/>
        <v>2A</v>
      </c>
    </row>
    <row r="33" spans="1:13" x14ac:dyDescent="0.25">
      <c r="A33" s="76">
        <v>10845</v>
      </c>
      <c r="B33" s="12" t="s">
        <v>325</v>
      </c>
      <c r="C33" s="64" t="str">
        <f>_xlfn.XLOOKUP(A33,Table8[Employee Number],Table8[Joining Date],"")</f>
        <v>11/04/2021</v>
      </c>
      <c r="D33" s="12" t="s">
        <v>586</v>
      </c>
      <c r="E33" s="12" t="s">
        <v>558</v>
      </c>
      <c r="F33" s="12" t="s">
        <v>327</v>
      </c>
      <c r="G33" s="12" t="s">
        <v>316</v>
      </c>
      <c r="H33" s="65">
        <f t="shared" si="4"/>
        <v>4.6500000000000004</v>
      </c>
      <c r="I33" s="65">
        <v>4.5999999999999996</v>
      </c>
      <c r="J33" s="65">
        <v>4.7</v>
      </c>
      <c r="K33" s="12" t="str">
        <f t="shared" si="1"/>
        <v>High</v>
      </c>
      <c r="L33" s="12" t="str">
        <f t="shared" si="2"/>
        <v>High</v>
      </c>
      <c r="M33" s="70" t="str">
        <f t="shared" si="3"/>
        <v>3C</v>
      </c>
    </row>
    <row r="34" spans="1:13" x14ac:dyDescent="0.25">
      <c r="A34" s="76">
        <v>10312</v>
      </c>
      <c r="B34" s="12" t="s">
        <v>328</v>
      </c>
      <c r="C34" s="64" t="str">
        <f>_xlfn.XLOOKUP(A34,Table8[Employee Number],Table8[Joining Date],"")</f>
        <v>06/12/2020</v>
      </c>
      <c r="D34" s="12" t="s">
        <v>586</v>
      </c>
      <c r="E34" s="12" t="s">
        <v>558</v>
      </c>
      <c r="F34" s="12" t="s">
        <v>315</v>
      </c>
      <c r="G34" s="12" t="s">
        <v>316</v>
      </c>
      <c r="H34" s="65">
        <f t="shared" si="4"/>
        <v>4</v>
      </c>
      <c r="I34" s="65">
        <v>4</v>
      </c>
      <c r="J34" s="65">
        <v>4</v>
      </c>
      <c r="K34" s="12" t="str">
        <f t="shared" si="1"/>
        <v>Average</v>
      </c>
      <c r="L34" s="12" t="str">
        <f t="shared" si="2"/>
        <v>Medium</v>
      </c>
      <c r="M34" s="70" t="str">
        <f t="shared" si="3"/>
        <v>2B</v>
      </c>
    </row>
    <row r="35" spans="1:13" x14ac:dyDescent="0.25">
      <c r="A35" s="76">
        <v>31254</v>
      </c>
      <c r="B35" s="12" t="s">
        <v>101</v>
      </c>
      <c r="C35" s="64" t="str">
        <f>_xlfn.XLOOKUP(A35,Table8[Employee Number],Table8[Joining Date],"")</f>
        <v>19/09/2021</v>
      </c>
      <c r="D35" s="12" t="s">
        <v>585</v>
      </c>
      <c r="E35" s="12" t="s">
        <v>556</v>
      </c>
      <c r="F35" s="12" t="s">
        <v>103</v>
      </c>
      <c r="G35" s="12" t="s">
        <v>104</v>
      </c>
      <c r="H35" s="65">
        <f t="shared" si="4"/>
        <v>3.5999999999999996</v>
      </c>
      <c r="I35" s="65">
        <v>3.4</v>
      </c>
      <c r="J35" s="65">
        <v>3.8</v>
      </c>
      <c r="K35" s="12" t="str">
        <f t="shared" si="1"/>
        <v>Average</v>
      </c>
      <c r="L35" s="12" t="str">
        <f t="shared" si="2"/>
        <v>Medium</v>
      </c>
      <c r="M35" s="70" t="str">
        <f t="shared" si="3"/>
        <v>2B</v>
      </c>
    </row>
    <row r="36" spans="1:13" x14ac:dyDescent="0.25">
      <c r="A36" s="76">
        <v>47611</v>
      </c>
      <c r="B36" s="12" t="s">
        <v>26</v>
      </c>
      <c r="C36" s="64" t="str">
        <f>_xlfn.XLOOKUP(A36,Table8[Employee Number],Table8[Joining Date],"")</f>
        <v>28/08/2023</v>
      </c>
      <c r="D36" s="12" t="s">
        <v>586</v>
      </c>
      <c r="E36" s="12" t="s">
        <v>555</v>
      </c>
      <c r="F36" s="12" t="s">
        <v>28</v>
      </c>
      <c r="G36" s="12" t="s">
        <v>29</v>
      </c>
      <c r="H36" s="65">
        <f t="shared" si="4"/>
        <v>4.75</v>
      </c>
      <c r="I36" s="65">
        <v>5</v>
      </c>
      <c r="J36" s="65">
        <v>4.5</v>
      </c>
      <c r="K36" s="12" t="str">
        <f t="shared" si="1"/>
        <v>High</v>
      </c>
      <c r="L36" s="12" t="str">
        <f t="shared" si="2"/>
        <v>High</v>
      </c>
      <c r="M36" s="70" t="str">
        <f t="shared" si="3"/>
        <v>3C</v>
      </c>
    </row>
    <row r="37" spans="1:13" x14ac:dyDescent="0.25">
      <c r="A37" s="76">
        <v>4363</v>
      </c>
      <c r="B37" s="12" t="s">
        <v>152</v>
      </c>
      <c r="C37" s="64" t="str">
        <f>_xlfn.XLOOKUP(A37,Table8[Employee Number],Table8[Joining Date],"")</f>
        <v>01/01/2021</v>
      </c>
      <c r="D37" s="12" t="s">
        <v>586</v>
      </c>
      <c r="E37" s="12" t="s">
        <v>556</v>
      </c>
      <c r="F37" s="12" t="s">
        <v>113</v>
      </c>
      <c r="G37" s="12" t="s">
        <v>100</v>
      </c>
      <c r="H37" s="65">
        <f t="shared" si="4"/>
        <v>4.9000000000000004</v>
      </c>
      <c r="I37" s="65">
        <v>5</v>
      </c>
      <c r="J37" s="65">
        <v>4.8</v>
      </c>
      <c r="K37" s="12" t="str">
        <f t="shared" si="1"/>
        <v>High</v>
      </c>
      <c r="L37" s="12" t="str">
        <f t="shared" si="2"/>
        <v>High</v>
      </c>
      <c r="M37" s="70" t="str">
        <f t="shared" si="3"/>
        <v>3C</v>
      </c>
    </row>
    <row r="38" spans="1:13" x14ac:dyDescent="0.25">
      <c r="A38" s="76">
        <v>49623</v>
      </c>
      <c r="B38" s="12" t="s">
        <v>330</v>
      </c>
      <c r="C38" s="64" t="str">
        <f>_xlfn.XLOOKUP(A38,Table8[Employee Number],Table8[Joining Date],"")</f>
        <v>26/08/2024</v>
      </c>
      <c r="D38" s="12" t="s">
        <v>586</v>
      </c>
      <c r="E38" s="12" t="s">
        <v>558</v>
      </c>
      <c r="F38" s="12" t="s">
        <v>332</v>
      </c>
      <c r="G38" s="12" t="s">
        <v>333</v>
      </c>
      <c r="H38" s="65">
        <f t="shared" si="4"/>
        <v>3.2</v>
      </c>
      <c r="I38" s="65">
        <v>3.1</v>
      </c>
      <c r="J38" s="65">
        <v>3.3</v>
      </c>
      <c r="K38" s="12" t="str">
        <f t="shared" si="1"/>
        <v>Poor</v>
      </c>
      <c r="L38" s="12" t="str">
        <f t="shared" si="2"/>
        <v>Medium</v>
      </c>
      <c r="M38" s="70" t="str">
        <f t="shared" si="3"/>
        <v>2A</v>
      </c>
    </row>
    <row r="39" spans="1:13" x14ac:dyDescent="0.25">
      <c r="A39" s="76">
        <v>49401</v>
      </c>
      <c r="B39" s="12" t="s">
        <v>153</v>
      </c>
      <c r="C39" s="64" t="str">
        <f>_xlfn.XLOOKUP(A39,Table8[Employee Number],Table8[Joining Date],"")</f>
        <v>01/07/2024</v>
      </c>
      <c r="D39" s="12" t="s">
        <v>586</v>
      </c>
      <c r="E39" s="12" t="s">
        <v>556</v>
      </c>
      <c r="F39" s="12" t="s">
        <v>141</v>
      </c>
      <c r="G39" s="12" t="s">
        <v>572</v>
      </c>
      <c r="H39" s="65">
        <f t="shared" si="4"/>
        <v>3.8499999999999996</v>
      </c>
      <c r="I39" s="65">
        <v>3.9</v>
      </c>
      <c r="J39" s="65">
        <v>3.8</v>
      </c>
      <c r="K39" s="12" t="str">
        <f t="shared" si="1"/>
        <v>Average</v>
      </c>
      <c r="L39" s="12" t="str">
        <f t="shared" si="2"/>
        <v>Medium</v>
      </c>
      <c r="M39" s="70" t="str">
        <f t="shared" si="3"/>
        <v>2B</v>
      </c>
    </row>
    <row r="40" spans="1:13" x14ac:dyDescent="0.25">
      <c r="A40" s="76">
        <v>10325</v>
      </c>
      <c r="B40" s="12" t="s">
        <v>174</v>
      </c>
      <c r="C40" s="64" t="str">
        <f>_xlfn.XLOOKUP(A40,Table8[Employee Number],Table8[Joining Date],"")</f>
        <v>01/02/2021</v>
      </c>
      <c r="D40" s="12" t="s">
        <v>586</v>
      </c>
      <c r="E40" s="12" t="s">
        <v>560</v>
      </c>
      <c r="F40" s="12" t="s">
        <v>176</v>
      </c>
      <c r="G40" s="12" t="s">
        <v>177</v>
      </c>
      <c r="H40" s="65">
        <f t="shared" si="4"/>
        <v>3.5999999999999996</v>
      </c>
      <c r="I40" s="65">
        <v>3.9</v>
      </c>
      <c r="J40" s="65">
        <v>3.3</v>
      </c>
      <c r="K40" s="12" t="str">
        <f t="shared" si="1"/>
        <v>Average</v>
      </c>
      <c r="L40" s="12" t="str">
        <f t="shared" si="2"/>
        <v>Medium</v>
      </c>
      <c r="M40" s="70" t="str">
        <f t="shared" si="3"/>
        <v>2B</v>
      </c>
    </row>
    <row r="41" spans="1:13" x14ac:dyDescent="0.25">
      <c r="A41" s="76">
        <v>6659</v>
      </c>
      <c r="B41" s="12" t="s">
        <v>30</v>
      </c>
      <c r="C41" s="64" t="str">
        <f>_xlfn.XLOOKUP(A41,Table8[Employee Number],Table8[Joining Date],"")</f>
        <v>25/09/2022</v>
      </c>
      <c r="D41" s="12" t="s">
        <v>587</v>
      </c>
      <c r="E41" s="12" t="s">
        <v>555</v>
      </c>
      <c r="F41" s="12" t="s">
        <v>32</v>
      </c>
      <c r="G41" s="12" t="s">
        <v>443</v>
      </c>
      <c r="H41" s="65">
        <f t="shared" si="4"/>
        <v>3.4</v>
      </c>
      <c r="I41" s="65">
        <v>3.5</v>
      </c>
      <c r="J41" s="65">
        <v>3.3</v>
      </c>
      <c r="K41" s="12" t="str">
        <f t="shared" si="1"/>
        <v>Average</v>
      </c>
      <c r="L41" s="12" t="str">
        <f t="shared" si="2"/>
        <v>Medium</v>
      </c>
      <c r="M41" s="70" t="str">
        <f t="shared" si="3"/>
        <v>2B</v>
      </c>
    </row>
    <row r="42" spans="1:13" x14ac:dyDescent="0.25">
      <c r="A42" s="76">
        <v>48804</v>
      </c>
      <c r="B42" s="12" t="s">
        <v>105</v>
      </c>
      <c r="C42" s="64" t="str">
        <f>_xlfn.XLOOKUP(A42,Table8[Employee Number],Table8[Joining Date],"")</f>
        <v>28/01/2024</v>
      </c>
      <c r="D42" s="12" t="s">
        <v>585</v>
      </c>
      <c r="E42" s="12" t="s">
        <v>556</v>
      </c>
      <c r="F42" s="12" t="s">
        <v>99</v>
      </c>
      <c r="G42" s="12" t="s">
        <v>107</v>
      </c>
      <c r="H42" s="65">
        <f t="shared" si="4"/>
        <v>4.2</v>
      </c>
      <c r="I42" s="65">
        <v>4.2</v>
      </c>
      <c r="J42" s="65">
        <v>4.2</v>
      </c>
      <c r="K42" s="12" t="str">
        <f t="shared" ref="K42:K73" si="5">IF(H42="","",
IF(OR(H42="NR",H42="NA"),"NA",
IF(H42&lt;$I$3,$H$3,
IF(H42&lt;$I$4,$H$4,$H$5)
)))</f>
        <v>Average</v>
      </c>
      <c r="L42" s="12" t="str">
        <f t="shared" ref="L42:L73" si="6">IF(J42="","",
IF(OR(J42="NR",J42="NA"),"NA",
IF(J42&lt;$L$3,$K$3,
IF(J42&lt;$L$4,$K$4,$K$5)
)))</f>
        <v>Medium</v>
      </c>
      <c r="M42" s="70" t="str">
        <f t="shared" ref="M42:M73" si="7">IF(OR(K42="",L42=""),"",
IF(AND(K42=$H$5,L42=$K$5),"3C",
IF(AND(K42=$H$4,L42=$K$5),"3B",
IF(AND(K42=$H$3,L42=$K$5),"3A",
IF(AND(K42=$H$5,L42=$K$4),"2C",
IF(AND(K42=$H$4,L42=$K$4),"2B",
IF(AND(K42=$H$3,L42=$K$4),"2A",
IF(AND(K42=$H$5,L42=$K$3),"1C",
IF(AND(K42=$H$4,L42=$K$3),"1B",
IF(AND(K42=$H$3,L42=$K$3),"1A","")
)))))))))</f>
        <v>2B</v>
      </c>
    </row>
    <row r="43" spans="1:13" x14ac:dyDescent="0.25">
      <c r="A43" s="76">
        <v>49495</v>
      </c>
      <c r="B43" s="12" t="s">
        <v>177</v>
      </c>
      <c r="C43" s="64" t="str">
        <f>_xlfn.XLOOKUP(A43,Table8[Employee Number],Table8[Joining Date],"")</f>
        <v>23/09/2024</v>
      </c>
      <c r="D43" s="12" t="s">
        <v>586</v>
      </c>
      <c r="E43" s="12" t="s">
        <v>560</v>
      </c>
      <c r="F43" s="12" t="s">
        <v>415</v>
      </c>
      <c r="G43" s="12" t="s">
        <v>413</v>
      </c>
      <c r="H43" s="65">
        <f t="shared" si="4"/>
        <v>2.15</v>
      </c>
      <c r="I43" s="65">
        <v>0</v>
      </c>
      <c r="J43" s="65">
        <v>4.3</v>
      </c>
      <c r="K43" s="12" t="str">
        <f t="shared" si="5"/>
        <v>Poor</v>
      </c>
      <c r="L43" s="12" t="str">
        <f t="shared" si="6"/>
        <v>Medium</v>
      </c>
      <c r="M43" s="70" t="str">
        <f t="shared" si="7"/>
        <v>2A</v>
      </c>
    </row>
    <row r="44" spans="1:13" x14ac:dyDescent="0.25">
      <c r="A44" s="76">
        <v>47687</v>
      </c>
      <c r="B44" s="12" t="s">
        <v>156</v>
      </c>
      <c r="C44" s="64" t="str">
        <f>_xlfn.XLOOKUP(A44,Table8[Employee Number],Table8[Joining Date],"")</f>
        <v>17/07/2023</v>
      </c>
      <c r="D44" s="12" t="s">
        <v>586</v>
      </c>
      <c r="E44" s="12" t="s">
        <v>556</v>
      </c>
      <c r="F44" s="12" t="s">
        <v>158</v>
      </c>
      <c r="G44" s="12" t="s">
        <v>138</v>
      </c>
      <c r="H44" s="65">
        <f t="shared" si="4"/>
        <v>3.7</v>
      </c>
      <c r="I44" s="65">
        <v>3.6</v>
      </c>
      <c r="J44" s="65">
        <v>3.8</v>
      </c>
      <c r="K44" s="12" t="str">
        <f t="shared" si="5"/>
        <v>Average</v>
      </c>
      <c r="L44" s="12" t="str">
        <f t="shared" si="6"/>
        <v>Medium</v>
      </c>
      <c r="M44" s="70" t="str">
        <f t="shared" si="7"/>
        <v>2B</v>
      </c>
    </row>
    <row r="45" spans="1:13" x14ac:dyDescent="0.25">
      <c r="A45" s="76">
        <v>47515</v>
      </c>
      <c r="B45" s="12" t="s">
        <v>66</v>
      </c>
      <c r="C45" s="64" t="str">
        <f>_xlfn.XLOOKUP(A45,Table8[Employee Number],Table8[Joining Date],"")</f>
        <v>28/03/2023</v>
      </c>
      <c r="D45" s="12" t="s">
        <v>587</v>
      </c>
      <c r="E45" s="12" t="s">
        <v>559</v>
      </c>
      <c r="F45" s="12" t="s">
        <v>54</v>
      </c>
      <c r="G45" s="12" t="s">
        <v>55</v>
      </c>
      <c r="H45" s="65">
        <f t="shared" si="4"/>
        <v>3.15</v>
      </c>
      <c r="I45" s="65">
        <v>3.3</v>
      </c>
      <c r="J45" s="65">
        <v>3</v>
      </c>
      <c r="K45" s="12" t="str">
        <f t="shared" si="5"/>
        <v>Poor</v>
      </c>
      <c r="L45" s="12" t="str">
        <f t="shared" si="6"/>
        <v>Medium</v>
      </c>
      <c r="M45" s="70" t="str">
        <f t="shared" si="7"/>
        <v>2A</v>
      </c>
    </row>
    <row r="46" spans="1:13" x14ac:dyDescent="0.25">
      <c r="A46" s="76">
        <v>47875</v>
      </c>
      <c r="B46" s="12" t="s">
        <v>197</v>
      </c>
      <c r="C46" s="64" t="str">
        <f>_xlfn.XLOOKUP(A46,Table8[Employee Number],Table8[Joining Date],"")</f>
        <v>01/08/2023</v>
      </c>
      <c r="D46" s="12" t="s">
        <v>587</v>
      </c>
      <c r="E46" s="12" t="s">
        <v>561</v>
      </c>
      <c r="F46" s="12" t="s">
        <v>199</v>
      </c>
      <c r="G46" s="12" t="s">
        <v>200</v>
      </c>
      <c r="H46" s="65">
        <f t="shared" si="4"/>
        <v>3.2</v>
      </c>
      <c r="I46" s="65">
        <v>3.2</v>
      </c>
      <c r="J46" s="65">
        <v>3.2</v>
      </c>
      <c r="K46" s="12" t="str">
        <f t="shared" si="5"/>
        <v>Poor</v>
      </c>
      <c r="L46" s="12" t="str">
        <f t="shared" si="6"/>
        <v>Medium</v>
      </c>
      <c r="M46" s="70" t="str">
        <f t="shared" si="7"/>
        <v>2A</v>
      </c>
    </row>
    <row r="47" spans="1:13" x14ac:dyDescent="0.25">
      <c r="A47" s="76">
        <v>31252</v>
      </c>
      <c r="B47" s="12" t="s">
        <v>110</v>
      </c>
      <c r="C47" s="64" t="str">
        <f>_xlfn.XLOOKUP(A47,Table8[Employee Number],Table8[Joining Date],"")</f>
        <v>01/09/2021</v>
      </c>
      <c r="D47" s="12" t="s">
        <v>585</v>
      </c>
      <c r="E47" s="12" t="s">
        <v>556</v>
      </c>
      <c r="F47" s="12" t="s">
        <v>400</v>
      </c>
      <c r="G47" s="12" t="s">
        <v>401</v>
      </c>
      <c r="H47" s="65">
        <f t="shared" si="4"/>
        <v>4.6500000000000004</v>
      </c>
      <c r="I47" s="65">
        <v>4.5999999999999996</v>
      </c>
      <c r="J47" s="65">
        <v>4.7</v>
      </c>
      <c r="K47" s="12" t="str">
        <f t="shared" si="5"/>
        <v>High</v>
      </c>
      <c r="L47" s="12" t="str">
        <f t="shared" si="6"/>
        <v>High</v>
      </c>
      <c r="M47" s="70" t="str">
        <f t="shared" si="7"/>
        <v>3C</v>
      </c>
    </row>
    <row r="48" spans="1:13" x14ac:dyDescent="0.25">
      <c r="A48" s="76">
        <v>31253</v>
      </c>
      <c r="B48" s="12" t="s">
        <v>108</v>
      </c>
      <c r="C48" s="64" t="str">
        <f>_xlfn.XLOOKUP(A48,Table8[Employee Number],Table8[Joining Date],"")</f>
        <v>05/09/2021</v>
      </c>
      <c r="D48" s="12" t="s">
        <v>585</v>
      </c>
      <c r="E48" s="12" t="s">
        <v>556</v>
      </c>
      <c r="F48" s="12" t="s">
        <v>99</v>
      </c>
      <c r="G48" s="12" t="s">
        <v>110</v>
      </c>
      <c r="H48" s="65">
        <f t="shared" si="4"/>
        <v>5</v>
      </c>
      <c r="I48" s="65">
        <v>5</v>
      </c>
      <c r="J48" s="65">
        <v>5</v>
      </c>
      <c r="K48" s="12" t="str">
        <f t="shared" si="5"/>
        <v>High</v>
      </c>
      <c r="L48" s="12" t="str">
        <f t="shared" si="6"/>
        <v>High</v>
      </c>
      <c r="M48" s="70" t="str">
        <f t="shared" si="7"/>
        <v>3C</v>
      </c>
    </row>
    <row r="49" spans="1:13" x14ac:dyDescent="0.25">
      <c r="A49" s="76">
        <v>48344</v>
      </c>
      <c r="B49" s="12" t="s">
        <v>222</v>
      </c>
      <c r="C49" s="64" t="str">
        <f>_xlfn.XLOOKUP(A49,Table8[Employee Number],Table8[Joining Date],"")</f>
        <v>09/11/2023</v>
      </c>
      <c r="D49" s="12" t="s">
        <v>586</v>
      </c>
      <c r="E49" s="12" t="s">
        <v>561</v>
      </c>
      <c r="F49" s="12" t="s">
        <v>224</v>
      </c>
      <c r="G49" s="12" t="s">
        <v>225</v>
      </c>
      <c r="H49" s="65">
        <f t="shared" si="4"/>
        <v>3.4</v>
      </c>
      <c r="I49" s="65">
        <v>3.3</v>
      </c>
      <c r="J49" s="65">
        <v>3.5</v>
      </c>
      <c r="K49" s="12" t="str">
        <f t="shared" si="5"/>
        <v>Average</v>
      </c>
      <c r="L49" s="12" t="str">
        <f t="shared" si="6"/>
        <v>Medium</v>
      </c>
      <c r="M49" s="70" t="str">
        <f t="shared" si="7"/>
        <v>2B</v>
      </c>
    </row>
    <row r="50" spans="1:13" x14ac:dyDescent="0.25">
      <c r="A50" s="76">
        <v>48090</v>
      </c>
      <c r="B50" s="12" t="s">
        <v>70</v>
      </c>
      <c r="C50" s="64" t="str">
        <f>_xlfn.XLOOKUP(A50,Table8[Employee Number],Table8[Joining Date],"")</f>
        <v>17/09/2023</v>
      </c>
      <c r="D50" s="12" t="s">
        <v>587</v>
      </c>
      <c r="E50" s="12" t="s">
        <v>559</v>
      </c>
      <c r="F50" s="12" t="s">
        <v>61</v>
      </c>
      <c r="G50" s="12" t="s">
        <v>55</v>
      </c>
      <c r="H50" s="65">
        <f t="shared" si="4"/>
        <v>3.5</v>
      </c>
      <c r="I50" s="65">
        <v>3.2</v>
      </c>
      <c r="J50" s="65">
        <v>3.8</v>
      </c>
      <c r="K50" s="12" t="str">
        <f t="shared" si="5"/>
        <v>Average</v>
      </c>
      <c r="L50" s="12" t="str">
        <f t="shared" si="6"/>
        <v>Medium</v>
      </c>
      <c r="M50" s="70" t="str">
        <f t="shared" si="7"/>
        <v>2B</v>
      </c>
    </row>
    <row r="51" spans="1:13" x14ac:dyDescent="0.25">
      <c r="A51" s="76">
        <v>6606</v>
      </c>
      <c r="B51" s="12" t="s">
        <v>33</v>
      </c>
      <c r="C51" s="64" t="str">
        <f>_xlfn.XLOOKUP(A51,Table8[Employee Number],Table8[Joining Date],"")</f>
        <v>01/06/2022</v>
      </c>
      <c r="D51" s="12" t="s">
        <v>587</v>
      </c>
      <c r="E51" s="12" t="s">
        <v>555</v>
      </c>
      <c r="F51" s="12" t="s">
        <v>22</v>
      </c>
      <c r="G51" s="12" t="s">
        <v>443</v>
      </c>
      <c r="H51" s="65">
        <f t="shared" si="4"/>
        <v>3</v>
      </c>
      <c r="I51" s="65">
        <v>3</v>
      </c>
      <c r="J51" s="65">
        <v>3</v>
      </c>
      <c r="K51" s="12" t="str">
        <f t="shared" si="5"/>
        <v>Poor</v>
      </c>
      <c r="L51" s="12" t="str">
        <f t="shared" si="6"/>
        <v>Medium</v>
      </c>
      <c r="M51" s="70" t="str">
        <f t="shared" si="7"/>
        <v>2A</v>
      </c>
    </row>
    <row r="52" spans="1:13" x14ac:dyDescent="0.25">
      <c r="A52" s="76">
        <v>49191</v>
      </c>
      <c r="B52" s="12" t="s">
        <v>268</v>
      </c>
      <c r="C52" s="64" t="str">
        <f>_xlfn.XLOOKUP(A52,Table8[Employee Number],Table8[Joining Date],"")</f>
        <v>28/04/2024</v>
      </c>
      <c r="D52" s="12" t="s">
        <v>585</v>
      </c>
      <c r="E52" s="12" t="s">
        <v>557</v>
      </c>
      <c r="F52" s="12" t="s">
        <v>270</v>
      </c>
      <c r="G52" s="12" t="s">
        <v>271</v>
      </c>
      <c r="H52" s="65">
        <f t="shared" si="4"/>
        <v>3.15</v>
      </c>
      <c r="I52" s="65">
        <v>3.3</v>
      </c>
      <c r="J52" s="65">
        <v>3</v>
      </c>
      <c r="K52" s="12" t="str">
        <f t="shared" si="5"/>
        <v>Poor</v>
      </c>
      <c r="L52" s="12" t="str">
        <f t="shared" si="6"/>
        <v>Medium</v>
      </c>
      <c r="M52" s="70" t="str">
        <f t="shared" si="7"/>
        <v>2A</v>
      </c>
    </row>
    <row r="53" spans="1:13" x14ac:dyDescent="0.25">
      <c r="A53" s="76">
        <v>10318</v>
      </c>
      <c r="B53" s="12" t="s">
        <v>337</v>
      </c>
      <c r="C53" s="64" t="str">
        <f>_xlfn.XLOOKUP(A53,Table8[Employee Number],Table8[Joining Date],"")</f>
        <v>23/12/2020</v>
      </c>
      <c r="D53" s="12" t="s">
        <v>586</v>
      </c>
      <c r="E53" s="12" t="s">
        <v>558</v>
      </c>
      <c r="F53" s="12" t="s">
        <v>315</v>
      </c>
      <c r="G53" s="12" t="s">
        <v>316</v>
      </c>
      <c r="H53" s="65">
        <f t="shared" si="4"/>
        <v>3.9</v>
      </c>
      <c r="I53" s="65">
        <v>4</v>
      </c>
      <c r="J53" s="65">
        <v>3.8</v>
      </c>
      <c r="K53" s="12" t="str">
        <f t="shared" si="5"/>
        <v>Average</v>
      </c>
      <c r="L53" s="12" t="str">
        <f t="shared" si="6"/>
        <v>Medium</v>
      </c>
      <c r="M53" s="70" t="str">
        <f t="shared" si="7"/>
        <v>2B</v>
      </c>
    </row>
    <row r="54" spans="1:13" x14ac:dyDescent="0.25">
      <c r="A54" s="76">
        <v>31251</v>
      </c>
      <c r="B54" s="12" t="s">
        <v>111</v>
      </c>
      <c r="C54" s="64" t="str">
        <f>_xlfn.XLOOKUP(A54,Table8[Employee Number],Table8[Joining Date],"")</f>
        <v>03/08/2021</v>
      </c>
      <c r="D54" s="12" t="s">
        <v>585</v>
      </c>
      <c r="E54" s="12" t="s">
        <v>556</v>
      </c>
      <c r="F54" s="12" t="s">
        <v>113</v>
      </c>
      <c r="G54" s="12" t="s">
        <v>104</v>
      </c>
      <c r="H54" s="65">
        <f t="shared" si="4"/>
        <v>3.75</v>
      </c>
      <c r="I54" s="65">
        <v>3.7</v>
      </c>
      <c r="J54" s="65">
        <v>3.8</v>
      </c>
      <c r="K54" s="12" t="str">
        <f t="shared" si="5"/>
        <v>Average</v>
      </c>
      <c r="L54" s="12" t="str">
        <f t="shared" si="6"/>
        <v>Medium</v>
      </c>
      <c r="M54" s="70" t="str">
        <f t="shared" si="7"/>
        <v>2B</v>
      </c>
    </row>
    <row r="55" spans="1:13" x14ac:dyDescent="0.25">
      <c r="A55" s="76">
        <v>31291</v>
      </c>
      <c r="B55" s="12" t="s">
        <v>127</v>
      </c>
      <c r="C55" s="64" t="str">
        <f>_xlfn.XLOOKUP(A55,Table8[Employee Number],Table8[Joining Date],"")</f>
        <v>01/01/2021</v>
      </c>
      <c r="D55" s="12" t="s">
        <v>585</v>
      </c>
      <c r="E55" s="12" t="s">
        <v>556</v>
      </c>
      <c r="F55" s="12" t="s">
        <v>406</v>
      </c>
      <c r="G55" s="12" t="s">
        <v>401</v>
      </c>
      <c r="H55" s="65">
        <f t="shared" si="4"/>
        <v>4.6500000000000004</v>
      </c>
      <c r="I55" s="65">
        <v>4.5999999999999996</v>
      </c>
      <c r="J55" s="65">
        <v>4.7</v>
      </c>
      <c r="K55" s="12" t="str">
        <f t="shared" si="5"/>
        <v>High</v>
      </c>
      <c r="L55" s="12" t="str">
        <f t="shared" si="6"/>
        <v>High</v>
      </c>
      <c r="M55" s="70" t="str">
        <f t="shared" si="7"/>
        <v>3C</v>
      </c>
    </row>
    <row r="56" spans="1:13" x14ac:dyDescent="0.25">
      <c r="A56" s="76">
        <v>47618</v>
      </c>
      <c r="B56" s="12" t="s">
        <v>52</v>
      </c>
      <c r="C56" s="64" t="str">
        <f>_xlfn.XLOOKUP(A56,Table8[Employee Number],Table8[Joining Date],"")</f>
        <v>01/05/2023</v>
      </c>
      <c r="D56" s="12" t="s">
        <v>587</v>
      </c>
      <c r="E56" s="12" t="s">
        <v>559</v>
      </c>
      <c r="F56" s="12" t="s">
        <v>389</v>
      </c>
      <c r="G56" s="12" t="s">
        <v>65</v>
      </c>
      <c r="H56" s="65">
        <f t="shared" si="4"/>
        <v>3.9</v>
      </c>
      <c r="I56" s="65">
        <v>4</v>
      </c>
      <c r="J56" s="65">
        <v>3.8</v>
      </c>
      <c r="K56" s="12" t="str">
        <f t="shared" si="5"/>
        <v>Average</v>
      </c>
      <c r="L56" s="12" t="str">
        <f t="shared" si="6"/>
        <v>Medium</v>
      </c>
      <c r="M56" s="70" t="str">
        <f t="shared" si="7"/>
        <v>2B</v>
      </c>
    </row>
    <row r="57" spans="1:13" x14ac:dyDescent="0.25">
      <c r="A57" s="76">
        <v>10859</v>
      </c>
      <c r="B57" s="12" t="s">
        <v>225</v>
      </c>
      <c r="C57" s="64" t="str">
        <f>_xlfn.XLOOKUP(A57,Table8[Employee Number],Table8[Joining Date],"")</f>
        <v>15/12/2021</v>
      </c>
      <c r="D57" s="12" t="s">
        <v>586</v>
      </c>
      <c r="E57" s="12" t="s">
        <v>561</v>
      </c>
      <c r="F57" s="12" t="s">
        <v>439</v>
      </c>
      <c r="G57" s="12" t="s">
        <v>382</v>
      </c>
      <c r="H57" s="65">
        <f t="shared" si="4"/>
        <v>4.0999999999999996</v>
      </c>
      <c r="I57" s="65">
        <v>4.2</v>
      </c>
      <c r="J57" s="65">
        <v>4</v>
      </c>
      <c r="K57" s="12" t="str">
        <f t="shared" si="5"/>
        <v>Average</v>
      </c>
      <c r="L57" s="12" t="str">
        <f t="shared" si="6"/>
        <v>Medium</v>
      </c>
      <c r="M57" s="70" t="str">
        <f t="shared" si="7"/>
        <v>2B</v>
      </c>
    </row>
    <row r="58" spans="1:13" x14ac:dyDescent="0.25">
      <c r="A58" s="76">
        <v>10825</v>
      </c>
      <c r="B58" s="12" t="s">
        <v>254</v>
      </c>
      <c r="C58" s="64" t="str">
        <f>_xlfn.XLOOKUP(A58,Table8[Employee Number],Table8[Joining Date],"")</f>
        <v>16/12/2020</v>
      </c>
      <c r="D58" s="12" t="s">
        <v>586</v>
      </c>
      <c r="E58" s="12" t="s">
        <v>561</v>
      </c>
      <c r="F58" s="12" t="s">
        <v>249</v>
      </c>
      <c r="G58" s="12" t="s">
        <v>250</v>
      </c>
      <c r="H58" s="65">
        <f t="shared" si="4"/>
        <v>4</v>
      </c>
      <c r="I58" s="65">
        <v>4</v>
      </c>
      <c r="J58" s="65">
        <v>4</v>
      </c>
      <c r="K58" s="12" t="str">
        <f t="shared" si="5"/>
        <v>Average</v>
      </c>
      <c r="L58" s="12" t="str">
        <f t="shared" si="6"/>
        <v>Medium</v>
      </c>
      <c r="M58" s="70" t="str">
        <f t="shared" si="7"/>
        <v>2B</v>
      </c>
    </row>
    <row r="59" spans="1:13" x14ac:dyDescent="0.25">
      <c r="A59" s="76">
        <v>49298</v>
      </c>
      <c r="B59" s="12" t="s">
        <v>275</v>
      </c>
      <c r="C59" s="64" t="str">
        <f>_xlfn.XLOOKUP(A59,Table8[Employee Number],Table8[Joining Date],"")</f>
        <v>25/06/2024</v>
      </c>
      <c r="D59" s="12" t="s">
        <v>585</v>
      </c>
      <c r="E59" s="12" t="s">
        <v>557</v>
      </c>
      <c r="F59" s="12" t="s">
        <v>451</v>
      </c>
      <c r="G59" s="12" t="s">
        <v>271</v>
      </c>
      <c r="H59" s="65">
        <f t="shared" si="4"/>
        <v>5</v>
      </c>
      <c r="I59" s="65">
        <v>5</v>
      </c>
      <c r="J59" s="65">
        <v>5</v>
      </c>
      <c r="K59" s="12" t="str">
        <f t="shared" si="5"/>
        <v>High</v>
      </c>
      <c r="L59" s="12" t="str">
        <f t="shared" si="6"/>
        <v>High</v>
      </c>
      <c r="M59" s="70" t="str">
        <f t="shared" si="7"/>
        <v>3C</v>
      </c>
    </row>
    <row r="60" spans="1:13" x14ac:dyDescent="0.25">
      <c r="A60" s="76">
        <v>30967</v>
      </c>
      <c r="B60" s="12" t="s">
        <v>118</v>
      </c>
      <c r="C60" s="64" t="str">
        <f>_xlfn.XLOOKUP(A60,Table8[Employee Number],Table8[Joining Date],"")</f>
        <v>06/03/2022</v>
      </c>
      <c r="D60" s="12" t="s">
        <v>585</v>
      </c>
      <c r="E60" s="12" t="s">
        <v>556</v>
      </c>
      <c r="F60" s="12" t="s">
        <v>120</v>
      </c>
      <c r="G60" s="12" t="s">
        <v>121</v>
      </c>
      <c r="H60" s="65">
        <f t="shared" si="4"/>
        <v>5</v>
      </c>
      <c r="I60" s="65">
        <v>5</v>
      </c>
      <c r="J60" s="65">
        <v>5</v>
      </c>
      <c r="K60" s="12" t="str">
        <f t="shared" si="5"/>
        <v>High</v>
      </c>
      <c r="L60" s="12" t="str">
        <f t="shared" si="6"/>
        <v>High</v>
      </c>
      <c r="M60" s="70" t="str">
        <f t="shared" si="7"/>
        <v>3C</v>
      </c>
    </row>
    <row r="61" spans="1:13" x14ac:dyDescent="0.25">
      <c r="A61" s="76">
        <v>48373</v>
      </c>
      <c r="B61" s="12" t="s">
        <v>161</v>
      </c>
      <c r="C61" s="64" t="str">
        <f>_xlfn.XLOOKUP(A61,Table8[Employee Number],Table8[Joining Date],"")</f>
        <v>10/12/2023</v>
      </c>
      <c r="D61" s="12" t="s">
        <v>585</v>
      </c>
      <c r="E61" s="12" t="s">
        <v>556</v>
      </c>
      <c r="F61" s="12" t="s">
        <v>116</v>
      </c>
      <c r="G61" s="12" t="s">
        <v>118</v>
      </c>
      <c r="H61" s="65">
        <f t="shared" si="4"/>
        <v>3.6</v>
      </c>
      <c r="I61" s="65">
        <v>3.2</v>
      </c>
      <c r="J61" s="65">
        <v>4</v>
      </c>
      <c r="K61" s="12" t="str">
        <f t="shared" si="5"/>
        <v>Average</v>
      </c>
      <c r="L61" s="12" t="str">
        <f t="shared" si="6"/>
        <v>Medium</v>
      </c>
      <c r="M61" s="70" t="str">
        <f t="shared" si="7"/>
        <v>2B</v>
      </c>
    </row>
    <row r="62" spans="1:13" x14ac:dyDescent="0.25">
      <c r="A62" s="76">
        <v>48484</v>
      </c>
      <c r="B62" s="12" t="s">
        <v>413</v>
      </c>
      <c r="C62" s="64" t="str">
        <f>_xlfn.XLOOKUP(A62,Table8[Employee Number],Table8[Joining Date],"")</f>
        <v>02/01/2024</v>
      </c>
      <c r="D62" s="12" t="s">
        <v>586</v>
      </c>
      <c r="E62" s="12" t="s">
        <v>560</v>
      </c>
      <c r="F62" s="12" t="s">
        <v>417</v>
      </c>
      <c r="G62" s="12" t="s">
        <v>563</v>
      </c>
      <c r="H62" s="65">
        <f t="shared" si="4"/>
        <v>3.8</v>
      </c>
      <c r="I62" s="65">
        <v>3.6</v>
      </c>
      <c r="J62" s="65">
        <v>4</v>
      </c>
      <c r="K62" s="12" t="str">
        <f t="shared" si="5"/>
        <v>Average</v>
      </c>
      <c r="L62" s="12" t="str">
        <f t="shared" si="6"/>
        <v>Medium</v>
      </c>
      <c r="M62" s="70" t="str">
        <f t="shared" si="7"/>
        <v>2B</v>
      </c>
    </row>
    <row r="63" spans="1:13" x14ac:dyDescent="0.25">
      <c r="A63" s="76">
        <v>49540</v>
      </c>
      <c r="B63" s="12" t="s">
        <v>201</v>
      </c>
      <c r="C63" s="64" t="str">
        <f>_xlfn.XLOOKUP(A63,Table8[Employee Number],Table8[Joining Date],"")</f>
        <v>04/08/2024</v>
      </c>
      <c r="D63" s="12" t="s">
        <v>587</v>
      </c>
      <c r="E63" s="12" t="s">
        <v>561</v>
      </c>
      <c r="F63" s="12" t="s">
        <v>199</v>
      </c>
      <c r="G63" s="12" t="s">
        <v>200</v>
      </c>
      <c r="H63" s="65">
        <f t="shared" si="4"/>
        <v>3</v>
      </c>
      <c r="I63" s="65">
        <v>3</v>
      </c>
      <c r="J63" s="65">
        <v>3</v>
      </c>
      <c r="K63" s="12" t="str">
        <f t="shared" si="5"/>
        <v>Poor</v>
      </c>
      <c r="L63" s="12" t="str">
        <f t="shared" si="6"/>
        <v>Medium</v>
      </c>
      <c r="M63" s="70" t="str">
        <f t="shared" si="7"/>
        <v>2A</v>
      </c>
    </row>
    <row r="64" spans="1:13" x14ac:dyDescent="0.25">
      <c r="A64" s="76">
        <v>31248</v>
      </c>
      <c r="B64" s="12" t="s">
        <v>219</v>
      </c>
      <c r="C64" s="64" t="str">
        <f>_xlfn.XLOOKUP(A64,Table8[Employee Number],Table8[Joining Date],"")</f>
        <v>23/05/2021</v>
      </c>
      <c r="D64" s="12" t="s">
        <v>585</v>
      </c>
      <c r="E64" s="12" t="s">
        <v>561</v>
      </c>
      <c r="F64" s="12" t="s">
        <v>221</v>
      </c>
      <c r="G64" s="12" t="s">
        <v>196</v>
      </c>
      <c r="H64" s="65">
        <f t="shared" si="4"/>
        <v>3.4000000000000004</v>
      </c>
      <c r="I64" s="65">
        <v>3.6</v>
      </c>
      <c r="J64" s="65">
        <v>3.2</v>
      </c>
      <c r="K64" s="12" t="str">
        <f t="shared" si="5"/>
        <v>Average</v>
      </c>
      <c r="L64" s="12" t="str">
        <f t="shared" si="6"/>
        <v>Medium</v>
      </c>
      <c r="M64" s="70" t="str">
        <f t="shared" si="7"/>
        <v>2B</v>
      </c>
    </row>
    <row r="65" spans="1:13" x14ac:dyDescent="0.25">
      <c r="A65" s="76">
        <v>10305</v>
      </c>
      <c r="B65" s="12" t="s">
        <v>339</v>
      </c>
      <c r="C65" s="64" t="str">
        <f>_xlfn.XLOOKUP(A65,Table8[Employee Number],Table8[Joining Date],"")</f>
        <v>11/11/2020</v>
      </c>
      <c r="D65" s="12" t="s">
        <v>586</v>
      </c>
      <c r="E65" s="12" t="s">
        <v>558</v>
      </c>
      <c r="F65" s="12" t="s">
        <v>315</v>
      </c>
      <c r="G65" s="12" t="s">
        <v>316</v>
      </c>
      <c r="H65" s="65">
        <f t="shared" si="4"/>
        <v>3.9</v>
      </c>
      <c r="I65" s="65">
        <v>3.8</v>
      </c>
      <c r="J65" s="65">
        <v>4</v>
      </c>
      <c r="K65" s="12" t="str">
        <f t="shared" si="5"/>
        <v>Average</v>
      </c>
      <c r="L65" s="12" t="str">
        <f t="shared" si="6"/>
        <v>Medium</v>
      </c>
      <c r="M65" s="70" t="str">
        <f t="shared" si="7"/>
        <v>2B</v>
      </c>
    </row>
    <row r="66" spans="1:13" x14ac:dyDescent="0.25">
      <c r="A66" s="76">
        <v>6592</v>
      </c>
      <c r="B66" s="12" t="s">
        <v>203</v>
      </c>
      <c r="C66" s="64" t="str">
        <f>_xlfn.XLOOKUP(A66,Table8[Employee Number],Table8[Joining Date],"")</f>
        <v>01/06/2022</v>
      </c>
      <c r="D66" s="12" t="s">
        <v>587</v>
      </c>
      <c r="E66" s="12" t="s">
        <v>561</v>
      </c>
      <c r="F66" s="12" t="s">
        <v>204</v>
      </c>
      <c r="G66" s="12" t="s">
        <v>200</v>
      </c>
      <c r="H66" s="65">
        <f t="shared" si="4"/>
        <v>4</v>
      </c>
      <c r="I66" s="65">
        <v>4</v>
      </c>
      <c r="J66" s="65">
        <v>4</v>
      </c>
      <c r="K66" s="12" t="str">
        <f t="shared" si="5"/>
        <v>Average</v>
      </c>
      <c r="L66" s="12" t="str">
        <f t="shared" si="6"/>
        <v>Medium</v>
      </c>
      <c r="M66" s="70" t="str">
        <f t="shared" si="7"/>
        <v>2B</v>
      </c>
    </row>
    <row r="67" spans="1:13" x14ac:dyDescent="0.25">
      <c r="A67" s="76">
        <v>10323</v>
      </c>
      <c r="B67" s="12" t="s">
        <v>85</v>
      </c>
      <c r="C67" s="64" t="str">
        <f>_xlfn.XLOOKUP(A67,Table8[Employee Number],Table8[Joining Date],"")</f>
        <v>07/02/2021</v>
      </c>
      <c r="D67" s="12" t="s">
        <v>586</v>
      </c>
      <c r="E67" s="12" t="s">
        <v>559</v>
      </c>
      <c r="F67" s="12" t="s">
        <v>87</v>
      </c>
      <c r="G67" s="12" t="s">
        <v>88</v>
      </c>
      <c r="H67" s="65">
        <f t="shared" si="4"/>
        <v>4</v>
      </c>
      <c r="I67" s="65">
        <v>4</v>
      </c>
      <c r="J67" s="65">
        <v>4</v>
      </c>
      <c r="K67" s="12" t="str">
        <f t="shared" si="5"/>
        <v>Average</v>
      </c>
      <c r="L67" s="12" t="str">
        <f t="shared" si="6"/>
        <v>Medium</v>
      </c>
      <c r="M67" s="70" t="str">
        <f t="shared" si="7"/>
        <v>2B</v>
      </c>
    </row>
    <row r="68" spans="1:13" x14ac:dyDescent="0.25">
      <c r="A68" s="76">
        <v>48343</v>
      </c>
      <c r="B68" s="12" t="s">
        <v>138</v>
      </c>
      <c r="C68" s="64" t="str">
        <f>_xlfn.XLOOKUP(A68,Table8[Employee Number],Table8[Joining Date],"")</f>
        <v>10/11/2023</v>
      </c>
      <c r="D68" s="12" t="s">
        <v>586</v>
      </c>
      <c r="E68" s="12" t="s">
        <v>556</v>
      </c>
      <c r="F68" s="12" t="s">
        <v>408</v>
      </c>
      <c r="G68" s="12" t="s">
        <v>117</v>
      </c>
      <c r="H68" s="65">
        <f t="shared" si="4"/>
        <v>3.8</v>
      </c>
      <c r="I68" s="65">
        <v>3.8</v>
      </c>
      <c r="J68" s="65">
        <v>3.8</v>
      </c>
      <c r="K68" s="12" t="str">
        <f t="shared" si="5"/>
        <v>Average</v>
      </c>
      <c r="L68" s="12" t="str">
        <f t="shared" si="6"/>
        <v>Medium</v>
      </c>
      <c r="M68" s="70" t="str">
        <f t="shared" si="7"/>
        <v>2B</v>
      </c>
    </row>
    <row r="69" spans="1:13" x14ac:dyDescent="0.25">
      <c r="A69" s="76">
        <v>47873</v>
      </c>
      <c r="B69" s="12" t="s">
        <v>117</v>
      </c>
      <c r="C69" s="64" t="str">
        <f>_xlfn.XLOOKUP(A69,Table8[Employee Number],Table8[Joining Date],"")</f>
        <v>01/09/2023</v>
      </c>
      <c r="D69" s="12" t="s">
        <v>586</v>
      </c>
      <c r="E69" s="12" t="s">
        <v>556</v>
      </c>
      <c r="F69" s="12" t="s">
        <v>410</v>
      </c>
      <c r="G69" s="12" t="s">
        <v>563</v>
      </c>
      <c r="H69" s="65">
        <f t="shared" si="4"/>
        <v>4.3000000000000007</v>
      </c>
      <c r="I69" s="65">
        <v>4.4000000000000004</v>
      </c>
      <c r="J69" s="65">
        <v>4.2</v>
      </c>
      <c r="K69" s="12" t="str">
        <f t="shared" si="5"/>
        <v>Average</v>
      </c>
      <c r="L69" s="12" t="str">
        <f t="shared" si="6"/>
        <v>Medium</v>
      </c>
      <c r="M69" s="70" t="str">
        <f t="shared" si="7"/>
        <v>2B</v>
      </c>
    </row>
    <row r="70" spans="1:13" x14ac:dyDescent="0.25">
      <c r="A70" s="76">
        <v>10837</v>
      </c>
      <c r="B70" s="12" t="s">
        <v>458</v>
      </c>
      <c r="C70" s="64" t="str">
        <f>_xlfn.XLOOKUP(A70,Table8[Employee Number],Table8[Joining Date],"")</f>
        <v>28/02/2021</v>
      </c>
      <c r="D70" s="12" t="s">
        <v>586</v>
      </c>
      <c r="E70" s="12" t="s">
        <v>564</v>
      </c>
      <c r="F70" s="12" t="s">
        <v>460</v>
      </c>
      <c r="G70" s="12" t="s">
        <v>386</v>
      </c>
      <c r="H70" s="65">
        <f t="shared" si="4"/>
        <v>5</v>
      </c>
      <c r="I70" s="65">
        <v>5</v>
      </c>
      <c r="J70" s="65">
        <v>5</v>
      </c>
      <c r="K70" s="12" t="str">
        <f t="shared" si="5"/>
        <v>High</v>
      </c>
      <c r="L70" s="12" t="str">
        <f t="shared" si="6"/>
        <v>High</v>
      </c>
      <c r="M70" s="70" t="str">
        <f t="shared" si="7"/>
        <v>3C</v>
      </c>
    </row>
    <row r="71" spans="1:13" x14ac:dyDescent="0.25">
      <c r="A71" s="76">
        <v>5851</v>
      </c>
      <c r="B71" s="12" t="s">
        <v>266</v>
      </c>
      <c r="C71" s="64" t="str">
        <f>_xlfn.XLOOKUP(A71,Table8[Employee Number],Table8[Joining Date],"")</f>
        <v>06/12/2020</v>
      </c>
      <c r="D71" s="12" t="s">
        <v>586</v>
      </c>
      <c r="E71" s="12" t="s">
        <v>565</v>
      </c>
      <c r="F71" s="12" t="s">
        <v>447</v>
      </c>
      <c r="G71" s="12" t="s">
        <v>386</v>
      </c>
      <c r="H71" s="65" t="s">
        <v>19</v>
      </c>
      <c r="I71" s="65" t="s">
        <v>19</v>
      </c>
      <c r="J71" s="65" t="s">
        <v>19</v>
      </c>
      <c r="K71" s="12" t="str">
        <f t="shared" si="5"/>
        <v>NA</v>
      </c>
      <c r="L71" s="12" t="str">
        <f t="shared" si="6"/>
        <v>NA</v>
      </c>
      <c r="M71" s="70" t="str">
        <f t="shared" si="7"/>
        <v/>
      </c>
    </row>
    <row r="72" spans="1:13" x14ac:dyDescent="0.25">
      <c r="A72" s="76">
        <v>47610</v>
      </c>
      <c r="B72" s="12" t="s">
        <v>341</v>
      </c>
      <c r="C72" s="64" t="str">
        <f>_xlfn.XLOOKUP(A72,Table8[Employee Number],Table8[Joining Date],"")</f>
        <v>12/06/2023</v>
      </c>
      <c r="D72" s="12" t="s">
        <v>586</v>
      </c>
      <c r="E72" s="12" t="s">
        <v>558</v>
      </c>
      <c r="F72" s="12" t="s">
        <v>332</v>
      </c>
      <c r="G72" s="12" t="s">
        <v>333</v>
      </c>
      <c r="H72" s="65">
        <f t="shared" ref="H72:H95" si="8">AVERAGE(J72,I72)</f>
        <v>3.75</v>
      </c>
      <c r="I72" s="65">
        <v>3.8</v>
      </c>
      <c r="J72" s="65">
        <v>3.7</v>
      </c>
      <c r="K72" s="12" t="str">
        <f t="shared" si="5"/>
        <v>Average</v>
      </c>
      <c r="L72" s="12" t="str">
        <f t="shared" si="6"/>
        <v>Medium</v>
      </c>
      <c r="M72" s="70" t="str">
        <f t="shared" si="7"/>
        <v>2B</v>
      </c>
    </row>
    <row r="73" spans="1:13" x14ac:dyDescent="0.25">
      <c r="A73" s="76">
        <v>47624</v>
      </c>
      <c r="B73" s="12" t="s">
        <v>147</v>
      </c>
      <c r="C73" s="64" t="str">
        <f>_xlfn.XLOOKUP(A73,Table8[Employee Number],Table8[Joining Date],"")</f>
        <v>12/06/2023</v>
      </c>
      <c r="D73" s="12" t="s">
        <v>586</v>
      </c>
      <c r="E73" s="12" t="s">
        <v>556</v>
      </c>
      <c r="F73" s="12" t="s">
        <v>408</v>
      </c>
      <c r="G73" s="12" t="s">
        <v>117</v>
      </c>
      <c r="H73" s="65">
        <f t="shared" si="8"/>
        <v>4.9000000000000004</v>
      </c>
      <c r="I73" s="65">
        <v>5</v>
      </c>
      <c r="J73" s="65">
        <v>4.8</v>
      </c>
      <c r="K73" s="12" t="str">
        <f t="shared" si="5"/>
        <v>High</v>
      </c>
      <c r="L73" s="12" t="str">
        <f t="shared" si="6"/>
        <v>High</v>
      </c>
      <c r="M73" s="70" t="str">
        <f t="shared" si="7"/>
        <v>3C</v>
      </c>
    </row>
    <row r="74" spans="1:13" x14ac:dyDescent="0.25">
      <c r="A74" s="76">
        <v>10313</v>
      </c>
      <c r="B74" s="12" t="s">
        <v>164</v>
      </c>
      <c r="C74" s="64" t="str">
        <f>_xlfn.XLOOKUP(A74,Table8[Employee Number],Table8[Joining Date],"")</f>
        <v>25/11/2020</v>
      </c>
      <c r="D74" s="12" t="s">
        <v>586</v>
      </c>
      <c r="E74" s="12" t="s">
        <v>556</v>
      </c>
      <c r="F74" s="12" t="s">
        <v>166</v>
      </c>
      <c r="G74" s="12" t="s">
        <v>117</v>
      </c>
      <c r="H74" s="65">
        <f t="shared" si="8"/>
        <v>4.0999999999999996</v>
      </c>
      <c r="I74" s="65">
        <v>4</v>
      </c>
      <c r="J74" s="65">
        <v>4.2</v>
      </c>
      <c r="K74" s="12" t="str">
        <f t="shared" ref="K74:K105" si="9">IF(H74="","",
IF(OR(H74="NR",H74="NA"),"NA",
IF(H74&lt;$I$3,$H$3,
IF(H74&lt;$I$4,$H$4,$H$5)
)))</f>
        <v>Average</v>
      </c>
      <c r="L74" s="12" t="str">
        <f t="shared" ref="L74:L105" si="10">IF(J74="","",
IF(OR(J74="NR",J74="NA"),"NA",
IF(J74&lt;$L$3,$K$3,
IF(J74&lt;$L$4,$K$4,$K$5)
)))</f>
        <v>Medium</v>
      </c>
      <c r="M74" s="70" t="str">
        <f t="shared" ref="M74:M105" si="11">IF(OR(K74="",L74=""),"",
IF(AND(K74=$H$5,L74=$K$5),"3C",
IF(AND(K74=$H$4,L74=$K$5),"3B",
IF(AND(K74=$H$3,L74=$K$5),"3A",
IF(AND(K74=$H$5,L74=$K$4),"2C",
IF(AND(K74=$H$4,L74=$K$4),"2B",
IF(AND(K74=$H$3,L74=$K$4),"2A",
IF(AND(K74=$H$5,L74=$K$3),"1C",
IF(AND(K74=$H$4,L74=$K$3),"1B",
IF(AND(K74=$H$3,L74=$K$3),"1A","")
)))))))))</f>
        <v>2B</v>
      </c>
    </row>
    <row r="75" spans="1:13" x14ac:dyDescent="0.25">
      <c r="A75" s="76">
        <v>10867</v>
      </c>
      <c r="B75" s="12" t="s">
        <v>243</v>
      </c>
      <c r="C75" s="64" t="str">
        <f>_xlfn.XLOOKUP(A75,Table8[Employee Number],Table8[Joining Date],"")</f>
        <v>23/02/2022</v>
      </c>
      <c r="D75" s="12" t="s">
        <v>586</v>
      </c>
      <c r="E75" s="12" t="s">
        <v>561</v>
      </c>
      <c r="F75" s="12" t="s">
        <v>435</v>
      </c>
      <c r="G75" s="12" t="s">
        <v>382</v>
      </c>
      <c r="H75" s="65">
        <f t="shared" si="8"/>
        <v>3.75</v>
      </c>
      <c r="I75" s="65">
        <v>3.8</v>
      </c>
      <c r="J75" s="65">
        <v>3.7</v>
      </c>
      <c r="K75" s="12" t="str">
        <f t="shared" si="9"/>
        <v>Average</v>
      </c>
      <c r="L75" s="12" t="str">
        <f t="shared" si="10"/>
        <v>Medium</v>
      </c>
      <c r="M75" s="70" t="str">
        <f t="shared" si="11"/>
        <v>2B</v>
      </c>
    </row>
    <row r="76" spans="1:13" x14ac:dyDescent="0.25">
      <c r="A76" s="76">
        <v>48345</v>
      </c>
      <c r="B76" s="12" t="s">
        <v>231</v>
      </c>
      <c r="C76" s="64" t="str">
        <f>_xlfn.XLOOKUP(A76,Table8[Employee Number],Table8[Joining Date],"")</f>
        <v>15/11/2023</v>
      </c>
      <c r="D76" s="12" t="s">
        <v>586</v>
      </c>
      <c r="E76" s="12" t="s">
        <v>561</v>
      </c>
      <c r="F76" s="12" t="s">
        <v>233</v>
      </c>
      <c r="G76" s="12" t="s">
        <v>225</v>
      </c>
      <c r="H76" s="65">
        <f t="shared" si="8"/>
        <v>3.4</v>
      </c>
      <c r="I76" s="65">
        <v>3.5</v>
      </c>
      <c r="J76" s="65">
        <v>3.3</v>
      </c>
      <c r="K76" s="12" t="str">
        <f t="shared" si="9"/>
        <v>Average</v>
      </c>
      <c r="L76" s="12" t="str">
        <f t="shared" si="10"/>
        <v>Medium</v>
      </c>
      <c r="M76" s="70" t="str">
        <f t="shared" si="11"/>
        <v>2B</v>
      </c>
    </row>
    <row r="77" spans="1:13" x14ac:dyDescent="0.25">
      <c r="A77" s="76">
        <v>31245</v>
      </c>
      <c r="B77" s="12" t="s">
        <v>107</v>
      </c>
      <c r="C77" s="64" t="str">
        <f>_xlfn.XLOOKUP(A77,Table8[Employee Number],Table8[Joining Date],"")</f>
        <v>16/03/2021</v>
      </c>
      <c r="D77" s="12" t="s">
        <v>585</v>
      </c>
      <c r="E77" s="12" t="s">
        <v>556</v>
      </c>
      <c r="F77" s="12" t="s">
        <v>120</v>
      </c>
      <c r="G77" s="12" t="s">
        <v>121</v>
      </c>
      <c r="H77" s="65">
        <f t="shared" si="8"/>
        <v>5</v>
      </c>
      <c r="I77" s="65">
        <v>5</v>
      </c>
      <c r="J77" s="65">
        <v>5</v>
      </c>
      <c r="K77" s="12" t="str">
        <f t="shared" si="9"/>
        <v>High</v>
      </c>
      <c r="L77" s="12" t="str">
        <f t="shared" si="10"/>
        <v>High</v>
      </c>
      <c r="M77" s="70" t="str">
        <f t="shared" si="11"/>
        <v>3C</v>
      </c>
    </row>
    <row r="78" spans="1:13" x14ac:dyDescent="0.25">
      <c r="A78" s="76">
        <v>49002</v>
      </c>
      <c r="B78" s="12" t="s">
        <v>304</v>
      </c>
      <c r="C78" s="64" t="str">
        <f>_xlfn.XLOOKUP(A78,Table8[Employee Number],Table8[Joining Date],"")</f>
        <v>16/04/2024</v>
      </c>
      <c r="D78" s="12" t="s">
        <v>586</v>
      </c>
      <c r="E78" s="12" t="s">
        <v>564</v>
      </c>
      <c r="F78" s="12" t="s">
        <v>462</v>
      </c>
      <c r="G78" s="12" t="s">
        <v>458</v>
      </c>
      <c r="H78" s="65">
        <f t="shared" si="8"/>
        <v>5</v>
      </c>
      <c r="I78" s="65">
        <v>5</v>
      </c>
      <c r="J78" s="65">
        <v>5</v>
      </c>
      <c r="K78" s="12" t="str">
        <f t="shared" si="9"/>
        <v>High</v>
      </c>
      <c r="L78" s="12" t="str">
        <f t="shared" si="10"/>
        <v>High</v>
      </c>
      <c r="M78" s="70" t="str">
        <f t="shared" si="11"/>
        <v>3C</v>
      </c>
    </row>
    <row r="79" spans="1:13" x14ac:dyDescent="0.25">
      <c r="A79" s="76">
        <v>2069</v>
      </c>
      <c r="B79" s="12" t="s">
        <v>100</v>
      </c>
      <c r="C79" s="64" t="str">
        <f>_xlfn.XLOOKUP(A79,Table8[Employee Number],Table8[Joining Date],"")</f>
        <v>01/01/2021</v>
      </c>
      <c r="D79" s="12" t="s">
        <v>586</v>
      </c>
      <c r="E79" s="12" t="s">
        <v>556</v>
      </c>
      <c r="F79" s="12" t="s">
        <v>400</v>
      </c>
      <c r="G79" s="12" t="s">
        <v>121</v>
      </c>
      <c r="H79" s="65">
        <f t="shared" si="8"/>
        <v>5</v>
      </c>
      <c r="I79" s="65">
        <v>5</v>
      </c>
      <c r="J79" s="65">
        <v>5</v>
      </c>
      <c r="K79" s="12" t="str">
        <f t="shared" si="9"/>
        <v>High</v>
      </c>
      <c r="L79" s="12" t="str">
        <f t="shared" si="10"/>
        <v>High</v>
      </c>
      <c r="M79" s="70" t="str">
        <f t="shared" si="11"/>
        <v>3C</v>
      </c>
    </row>
    <row r="80" spans="1:13" x14ac:dyDescent="0.25">
      <c r="A80" s="76">
        <v>49442</v>
      </c>
      <c r="B80" s="12" t="s">
        <v>167</v>
      </c>
      <c r="C80" s="64" t="str">
        <f>_xlfn.XLOOKUP(A80,Table8[Employee Number],Table8[Joining Date],"")</f>
        <v>08/07/2024</v>
      </c>
      <c r="D80" s="12" t="s">
        <v>586</v>
      </c>
      <c r="E80" s="12" t="s">
        <v>556</v>
      </c>
      <c r="F80" s="12" t="s">
        <v>141</v>
      </c>
      <c r="G80" s="12" t="s">
        <v>169</v>
      </c>
      <c r="H80" s="65">
        <f t="shared" si="8"/>
        <v>3.8</v>
      </c>
      <c r="I80" s="65">
        <v>3.8</v>
      </c>
      <c r="J80" s="65">
        <v>3.8</v>
      </c>
      <c r="K80" s="12" t="str">
        <f t="shared" si="9"/>
        <v>Average</v>
      </c>
      <c r="L80" s="12" t="str">
        <f t="shared" si="10"/>
        <v>Medium</v>
      </c>
      <c r="M80" s="70" t="str">
        <f t="shared" si="11"/>
        <v>2B</v>
      </c>
    </row>
    <row r="81" spans="1:13" x14ac:dyDescent="0.25">
      <c r="A81" s="76">
        <v>10307</v>
      </c>
      <c r="B81" s="12" t="s">
        <v>283</v>
      </c>
      <c r="C81" s="64" t="str">
        <f>_xlfn.XLOOKUP(A81,Table8[Employee Number],Table8[Joining Date],"")</f>
        <v>15/11/2020</v>
      </c>
      <c r="D81" s="12" t="s">
        <v>586</v>
      </c>
      <c r="E81" s="12" t="s">
        <v>557</v>
      </c>
      <c r="F81" s="12" t="s">
        <v>452</v>
      </c>
      <c r="G81" s="12" t="s">
        <v>386</v>
      </c>
      <c r="H81" s="65">
        <f t="shared" si="8"/>
        <v>2</v>
      </c>
      <c r="I81" s="65">
        <v>4</v>
      </c>
      <c r="J81" s="65">
        <v>0</v>
      </c>
      <c r="K81" s="12" t="str">
        <f t="shared" si="9"/>
        <v>Poor</v>
      </c>
      <c r="L81" s="12" t="str">
        <f t="shared" si="10"/>
        <v>Low</v>
      </c>
      <c r="M81" s="70" t="str">
        <f t="shared" si="11"/>
        <v>1A</v>
      </c>
    </row>
    <row r="82" spans="1:13" x14ac:dyDescent="0.25">
      <c r="A82" s="76">
        <v>48189</v>
      </c>
      <c r="B82" s="12" t="s">
        <v>122</v>
      </c>
      <c r="C82" s="64" t="str">
        <f>_xlfn.XLOOKUP(A82,Table8[Employee Number],Table8[Joining Date],"")</f>
        <v>08/10/2023</v>
      </c>
      <c r="D82" s="12" t="s">
        <v>585</v>
      </c>
      <c r="E82" s="12" t="s">
        <v>556</v>
      </c>
      <c r="F82" s="12" t="s">
        <v>103</v>
      </c>
      <c r="G82" s="12" t="s">
        <v>121</v>
      </c>
      <c r="H82" s="65">
        <f t="shared" si="8"/>
        <v>4.4000000000000004</v>
      </c>
      <c r="I82" s="65">
        <v>3.8</v>
      </c>
      <c r="J82" s="65">
        <v>5</v>
      </c>
      <c r="K82" s="12" t="str">
        <f t="shared" si="9"/>
        <v>High</v>
      </c>
      <c r="L82" s="12" t="str">
        <f t="shared" si="10"/>
        <v>High</v>
      </c>
      <c r="M82" s="70" t="str">
        <f t="shared" si="11"/>
        <v>3C</v>
      </c>
    </row>
    <row r="83" spans="1:13" x14ac:dyDescent="0.25">
      <c r="A83" s="76">
        <v>47722</v>
      </c>
      <c r="B83" s="12" t="s">
        <v>49</v>
      </c>
      <c r="C83" s="64" t="str">
        <f>_xlfn.XLOOKUP(A83,Table8[Employee Number],Table8[Joining Date],"")</f>
        <v>01/06/2023</v>
      </c>
      <c r="D83" s="12" t="s">
        <v>587</v>
      </c>
      <c r="E83" s="12" t="s">
        <v>559</v>
      </c>
      <c r="F83" s="12" t="s">
        <v>51</v>
      </c>
      <c r="G83" s="12" t="s">
        <v>52</v>
      </c>
      <c r="H83" s="65">
        <f t="shared" si="8"/>
        <v>3.15</v>
      </c>
      <c r="I83" s="65">
        <v>3</v>
      </c>
      <c r="J83" s="65">
        <v>3.3</v>
      </c>
      <c r="K83" s="12" t="str">
        <f t="shared" si="9"/>
        <v>Poor</v>
      </c>
      <c r="L83" s="12" t="str">
        <f t="shared" si="10"/>
        <v>Medium</v>
      </c>
      <c r="M83" s="70" t="str">
        <f t="shared" si="11"/>
        <v>2A</v>
      </c>
    </row>
    <row r="84" spans="1:13" x14ac:dyDescent="0.25">
      <c r="A84" s="76">
        <v>6573</v>
      </c>
      <c r="B84" s="12" t="s">
        <v>62</v>
      </c>
      <c r="C84" s="64" t="str">
        <f>_xlfn.XLOOKUP(A84,Table8[Employee Number],Table8[Joining Date],"")</f>
        <v>01/06/2022</v>
      </c>
      <c r="D84" s="12" t="s">
        <v>587</v>
      </c>
      <c r="E84" s="12" t="s">
        <v>559</v>
      </c>
      <c r="F84" s="12" t="s">
        <v>54</v>
      </c>
      <c r="G84" s="12" t="s">
        <v>55</v>
      </c>
      <c r="H84" s="65">
        <f t="shared" si="8"/>
        <v>3.8</v>
      </c>
      <c r="I84" s="65">
        <v>3.8</v>
      </c>
      <c r="J84" s="65">
        <v>3.8</v>
      </c>
      <c r="K84" s="12" t="str">
        <f t="shared" si="9"/>
        <v>Average</v>
      </c>
      <c r="L84" s="12" t="str">
        <f t="shared" si="10"/>
        <v>Medium</v>
      </c>
      <c r="M84" s="70" t="str">
        <f t="shared" si="11"/>
        <v>2B</v>
      </c>
    </row>
    <row r="85" spans="1:13" x14ac:dyDescent="0.25">
      <c r="A85" s="76">
        <v>6549</v>
      </c>
      <c r="B85" s="12" t="s">
        <v>55</v>
      </c>
      <c r="C85" s="64" t="str">
        <f>_xlfn.XLOOKUP(A85,Table8[Employee Number],Table8[Joining Date],"")</f>
        <v>01/06/2022</v>
      </c>
      <c r="D85" s="12" t="s">
        <v>587</v>
      </c>
      <c r="E85" s="12" t="s">
        <v>559</v>
      </c>
      <c r="F85" s="12" t="s">
        <v>390</v>
      </c>
      <c r="G85" s="12" t="s">
        <v>65</v>
      </c>
      <c r="H85" s="65">
        <f t="shared" si="8"/>
        <v>3.8</v>
      </c>
      <c r="I85" s="65">
        <v>3.9</v>
      </c>
      <c r="J85" s="65">
        <v>3.7</v>
      </c>
      <c r="K85" s="12" t="str">
        <f t="shared" si="9"/>
        <v>Average</v>
      </c>
      <c r="L85" s="12" t="str">
        <f t="shared" si="10"/>
        <v>Medium</v>
      </c>
      <c r="M85" s="70" t="str">
        <f t="shared" si="11"/>
        <v>2B</v>
      </c>
    </row>
    <row r="86" spans="1:13" x14ac:dyDescent="0.25">
      <c r="A86" s="76">
        <v>31250</v>
      </c>
      <c r="B86" s="12" t="s">
        <v>196</v>
      </c>
      <c r="C86" s="64" t="str">
        <f>_xlfn.XLOOKUP(A86,Table8[Employee Number],Table8[Joining Date],"")</f>
        <v>22/06/2021</v>
      </c>
      <c r="D86" s="12" t="s">
        <v>585</v>
      </c>
      <c r="E86" s="12" t="s">
        <v>561</v>
      </c>
      <c r="F86" s="12" t="s">
        <v>230</v>
      </c>
      <c r="G86" s="12" t="s">
        <v>225</v>
      </c>
      <c r="H86" s="65">
        <f t="shared" si="8"/>
        <v>3.5999999999999996</v>
      </c>
      <c r="I86" s="65">
        <v>3.4</v>
      </c>
      <c r="J86" s="65">
        <v>3.8</v>
      </c>
      <c r="K86" s="12" t="str">
        <f t="shared" si="9"/>
        <v>Average</v>
      </c>
      <c r="L86" s="12" t="str">
        <f t="shared" si="10"/>
        <v>Medium</v>
      </c>
      <c r="M86" s="70" t="str">
        <f t="shared" si="11"/>
        <v>2B</v>
      </c>
    </row>
    <row r="87" spans="1:13" x14ac:dyDescent="0.25">
      <c r="A87" s="76">
        <v>10869</v>
      </c>
      <c r="B87" s="12" t="s">
        <v>343</v>
      </c>
      <c r="C87" s="64" t="str">
        <f>_xlfn.XLOOKUP(A87,Table8[Employee Number],Table8[Joining Date],"")</f>
        <v>03/03/2022</v>
      </c>
      <c r="D87" s="12" t="s">
        <v>586</v>
      </c>
      <c r="E87" s="12" t="s">
        <v>558</v>
      </c>
      <c r="F87" s="12" t="s">
        <v>327</v>
      </c>
      <c r="G87" s="12" t="s">
        <v>316</v>
      </c>
      <c r="H87" s="65">
        <f t="shared" si="8"/>
        <v>4.45</v>
      </c>
      <c r="I87" s="65">
        <v>4.2</v>
      </c>
      <c r="J87" s="65">
        <v>4.7</v>
      </c>
      <c r="K87" s="12" t="str">
        <f t="shared" si="9"/>
        <v>High</v>
      </c>
      <c r="L87" s="12" t="str">
        <f t="shared" si="10"/>
        <v>High</v>
      </c>
      <c r="M87" s="70" t="str">
        <f t="shared" si="11"/>
        <v>3C</v>
      </c>
    </row>
    <row r="88" spans="1:13" x14ac:dyDescent="0.25">
      <c r="A88" s="76">
        <v>10833</v>
      </c>
      <c r="B88" s="12" t="s">
        <v>345</v>
      </c>
      <c r="C88" s="64" t="str">
        <f>_xlfn.XLOOKUP(A88,Table8[Employee Number],Table8[Joining Date],"")</f>
        <v>22/02/2021</v>
      </c>
      <c r="D88" s="12" t="s">
        <v>586</v>
      </c>
      <c r="E88" s="12" t="s">
        <v>558</v>
      </c>
      <c r="F88" s="12" t="s">
        <v>315</v>
      </c>
      <c r="G88" s="12" t="s">
        <v>316</v>
      </c>
      <c r="H88" s="65">
        <f t="shared" si="8"/>
        <v>4.3</v>
      </c>
      <c r="I88" s="65">
        <v>4.3</v>
      </c>
      <c r="J88" s="65">
        <v>4.3</v>
      </c>
      <c r="K88" s="12" t="str">
        <f t="shared" si="9"/>
        <v>Average</v>
      </c>
      <c r="L88" s="12" t="str">
        <f t="shared" si="10"/>
        <v>Medium</v>
      </c>
      <c r="M88" s="70" t="str">
        <f t="shared" si="11"/>
        <v>2B</v>
      </c>
    </row>
    <row r="89" spans="1:13" x14ac:dyDescent="0.25">
      <c r="A89" s="76">
        <v>10839</v>
      </c>
      <c r="B89" s="12" t="s">
        <v>347</v>
      </c>
      <c r="C89" s="64" t="str">
        <f>_xlfn.XLOOKUP(A89,Table8[Employee Number],Table8[Joining Date],"")</f>
        <v>17/03/2021</v>
      </c>
      <c r="D89" s="12" t="s">
        <v>586</v>
      </c>
      <c r="E89" s="12" t="s">
        <v>558</v>
      </c>
      <c r="F89" s="12" t="s">
        <v>315</v>
      </c>
      <c r="G89" s="12" t="s">
        <v>316</v>
      </c>
      <c r="H89" s="65">
        <f t="shared" si="8"/>
        <v>4.25</v>
      </c>
      <c r="I89" s="65">
        <v>4.3</v>
      </c>
      <c r="J89" s="65">
        <v>4.2</v>
      </c>
      <c r="K89" s="12" t="str">
        <f t="shared" si="9"/>
        <v>Average</v>
      </c>
      <c r="L89" s="12" t="str">
        <f t="shared" si="10"/>
        <v>Medium</v>
      </c>
      <c r="M89" s="70" t="str">
        <f t="shared" si="11"/>
        <v>2B</v>
      </c>
    </row>
    <row r="90" spans="1:13" x14ac:dyDescent="0.25">
      <c r="A90" s="76">
        <v>10317</v>
      </c>
      <c r="B90" s="12" t="s">
        <v>349</v>
      </c>
      <c r="C90" s="64" t="str">
        <f>_xlfn.XLOOKUP(A90,Table8[Employee Number],Table8[Joining Date],"")</f>
        <v>23/12/2020</v>
      </c>
      <c r="D90" s="12" t="s">
        <v>586</v>
      </c>
      <c r="E90" s="12" t="s">
        <v>558</v>
      </c>
      <c r="F90" s="12" t="s">
        <v>350</v>
      </c>
      <c r="G90" s="12" t="s">
        <v>333</v>
      </c>
      <c r="H90" s="65">
        <f t="shared" si="8"/>
        <v>3.35</v>
      </c>
      <c r="I90" s="65">
        <v>3.2</v>
      </c>
      <c r="J90" s="65">
        <v>3.5</v>
      </c>
      <c r="K90" s="12" t="str">
        <f t="shared" si="9"/>
        <v>Poor</v>
      </c>
      <c r="L90" s="12" t="str">
        <f t="shared" si="10"/>
        <v>Medium</v>
      </c>
      <c r="M90" s="70" t="str">
        <f t="shared" si="11"/>
        <v>2A</v>
      </c>
    </row>
    <row r="91" spans="1:13" x14ac:dyDescent="0.25">
      <c r="A91" s="76">
        <v>47721</v>
      </c>
      <c r="B91" s="12" t="s">
        <v>72</v>
      </c>
      <c r="C91" s="64" t="str">
        <f>_xlfn.XLOOKUP(A91,Table8[Employee Number],Table8[Joining Date],"")</f>
        <v>01/06/2023</v>
      </c>
      <c r="D91" s="12" t="s">
        <v>587</v>
      </c>
      <c r="E91" s="12" t="s">
        <v>559</v>
      </c>
      <c r="F91" s="12" t="s">
        <v>391</v>
      </c>
      <c r="G91" s="12" t="s">
        <v>55</v>
      </c>
      <c r="H91" s="65">
        <f t="shared" si="8"/>
        <v>3.9</v>
      </c>
      <c r="I91" s="65">
        <v>4</v>
      </c>
      <c r="J91" s="65">
        <v>3.8</v>
      </c>
      <c r="K91" s="12" t="str">
        <f t="shared" si="9"/>
        <v>Average</v>
      </c>
      <c r="L91" s="12" t="str">
        <f t="shared" si="10"/>
        <v>Medium</v>
      </c>
      <c r="M91" s="70" t="str">
        <f t="shared" si="11"/>
        <v>2B</v>
      </c>
    </row>
    <row r="92" spans="1:13" x14ac:dyDescent="0.25">
      <c r="A92" s="76">
        <v>48063</v>
      </c>
      <c r="B92" s="12" t="s">
        <v>124</v>
      </c>
      <c r="C92" s="64" t="str">
        <f>_xlfn.XLOOKUP(A92,Table8[Employee Number],Table8[Joining Date],"")</f>
        <v>01/10/2023</v>
      </c>
      <c r="D92" s="12" t="s">
        <v>585</v>
      </c>
      <c r="E92" s="12" t="s">
        <v>556</v>
      </c>
      <c r="F92" s="12" t="s">
        <v>126</v>
      </c>
      <c r="G92" s="12" t="s">
        <v>127</v>
      </c>
      <c r="H92" s="65">
        <f t="shared" si="8"/>
        <v>4.3499999999999996</v>
      </c>
      <c r="I92" s="65">
        <v>4.7</v>
      </c>
      <c r="J92" s="65">
        <v>4</v>
      </c>
      <c r="K92" s="12" t="str">
        <f t="shared" si="9"/>
        <v>Average</v>
      </c>
      <c r="L92" s="12" t="str">
        <f t="shared" si="10"/>
        <v>Medium</v>
      </c>
      <c r="M92" s="70" t="str">
        <f t="shared" si="11"/>
        <v>2B</v>
      </c>
    </row>
    <row r="93" spans="1:13" x14ac:dyDescent="0.25">
      <c r="A93" s="76">
        <v>6599</v>
      </c>
      <c r="B93" s="12" t="s">
        <v>309</v>
      </c>
      <c r="C93" s="64" t="str">
        <f>_xlfn.XLOOKUP(A93,Table8[Employee Number],Table8[Joining Date],"")</f>
        <v>01/06/2022</v>
      </c>
      <c r="D93" s="12" t="s">
        <v>587</v>
      </c>
      <c r="E93" s="12" t="s">
        <v>566</v>
      </c>
      <c r="F93" s="12" t="s">
        <v>310</v>
      </c>
      <c r="G93" s="12" t="s">
        <v>308</v>
      </c>
      <c r="H93" s="65">
        <f t="shared" si="8"/>
        <v>3.6500000000000004</v>
      </c>
      <c r="I93" s="65">
        <v>3.6</v>
      </c>
      <c r="J93" s="65">
        <v>3.7</v>
      </c>
      <c r="K93" s="12" t="str">
        <f t="shared" si="9"/>
        <v>Average</v>
      </c>
      <c r="L93" s="12" t="str">
        <f t="shared" si="10"/>
        <v>Medium</v>
      </c>
      <c r="M93" s="70" t="str">
        <f t="shared" si="11"/>
        <v>2B</v>
      </c>
    </row>
    <row r="94" spans="1:13" x14ac:dyDescent="0.25">
      <c r="A94" s="76">
        <v>10850</v>
      </c>
      <c r="B94" s="12" t="s">
        <v>428</v>
      </c>
      <c r="C94" s="64" t="str">
        <f>_xlfn.XLOOKUP(A94,Table8[Employee Number],Table8[Joining Date],"")</f>
        <v>01/06/2021</v>
      </c>
      <c r="D94" s="12" t="s">
        <v>586</v>
      </c>
      <c r="E94" s="12" t="s">
        <v>561</v>
      </c>
      <c r="F94" s="12" t="s">
        <v>233</v>
      </c>
      <c r="G94" s="12" t="s">
        <v>250</v>
      </c>
      <c r="H94" s="65">
        <f t="shared" si="8"/>
        <v>4</v>
      </c>
      <c r="I94" s="65">
        <v>4</v>
      </c>
      <c r="J94" s="65">
        <v>4</v>
      </c>
      <c r="K94" s="12" t="str">
        <f t="shared" si="9"/>
        <v>Average</v>
      </c>
      <c r="L94" s="12" t="str">
        <f t="shared" si="10"/>
        <v>Medium</v>
      </c>
      <c r="M94" s="70" t="str">
        <f t="shared" si="11"/>
        <v>2B</v>
      </c>
    </row>
    <row r="95" spans="1:13" x14ac:dyDescent="0.25">
      <c r="A95" s="76">
        <v>10823</v>
      </c>
      <c r="B95" s="12" t="s">
        <v>430</v>
      </c>
      <c r="C95" s="64" t="str">
        <f>_xlfn.XLOOKUP(A95,Table8[Employee Number],Table8[Joining Date],"")</f>
        <v>13/12/2020</v>
      </c>
      <c r="D95" s="12" t="s">
        <v>586</v>
      </c>
      <c r="E95" s="12" t="s">
        <v>561</v>
      </c>
      <c r="F95" s="12" t="s">
        <v>249</v>
      </c>
      <c r="G95" s="12" t="s">
        <v>250</v>
      </c>
      <c r="H95" s="65">
        <f t="shared" si="8"/>
        <v>4.0999999999999996</v>
      </c>
      <c r="I95" s="65">
        <v>4.2</v>
      </c>
      <c r="J95" s="65">
        <v>4</v>
      </c>
      <c r="K95" s="12" t="str">
        <f t="shared" si="9"/>
        <v>Average</v>
      </c>
      <c r="L95" s="12" t="str">
        <f t="shared" si="10"/>
        <v>Medium</v>
      </c>
      <c r="M95" s="70" t="str">
        <f t="shared" si="11"/>
        <v>2B</v>
      </c>
    </row>
    <row r="96" spans="1:13" x14ac:dyDescent="0.25">
      <c r="A96" s="76">
        <v>5836</v>
      </c>
      <c r="B96" s="12" t="s">
        <v>382</v>
      </c>
      <c r="C96" s="64" t="str">
        <f>_xlfn.XLOOKUP(A96,Table8[Employee Number],Table8[Joining Date],"")</f>
        <v>14/09/2020</v>
      </c>
      <c r="D96" s="12" t="s">
        <v>586</v>
      </c>
      <c r="E96" s="12" t="s">
        <v>567</v>
      </c>
      <c r="F96" s="12" t="s">
        <v>422</v>
      </c>
      <c r="G96" s="12" t="s">
        <v>151</v>
      </c>
      <c r="H96" s="65" t="s">
        <v>19</v>
      </c>
      <c r="I96" s="65" t="s">
        <v>19</v>
      </c>
      <c r="J96" s="65" t="s">
        <v>19</v>
      </c>
      <c r="K96" s="12" t="str">
        <f t="shared" si="9"/>
        <v>NA</v>
      </c>
      <c r="L96" s="12" t="str">
        <f t="shared" si="10"/>
        <v>NA</v>
      </c>
      <c r="M96" s="70" t="str">
        <f t="shared" si="11"/>
        <v/>
      </c>
    </row>
    <row r="97" spans="1:13" x14ac:dyDescent="0.25">
      <c r="A97" s="76">
        <v>2834</v>
      </c>
      <c r="B97" s="12" t="s">
        <v>308</v>
      </c>
      <c r="C97" s="64" t="str">
        <f>_xlfn.XLOOKUP(A97,Table8[Employee Number],Table8[Joining Date],"")</f>
        <v>07/03/2021</v>
      </c>
      <c r="D97" s="12" t="s">
        <v>586</v>
      </c>
      <c r="E97" s="12" t="s">
        <v>566</v>
      </c>
      <c r="F97" s="12" t="s">
        <v>463</v>
      </c>
      <c r="G97" s="12" t="s">
        <v>464</v>
      </c>
      <c r="H97" s="65">
        <f t="shared" ref="H97:H119" si="12">AVERAGE(J97,I97)</f>
        <v>4</v>
      </c>
      <c r="I97" s="65">
        <v>4</v>
      </c>
      <c r="J97" s="65">
        <v>4</v>
      </c>
      <c r="K97" s="12" t="str">
        <f t="shared" si="9"/>
        <v>Average</v>
      </c>
      <c r="L97" s="12" t="str">
        <f t="shared" si="10"/>
        <v>Medium</v>
      </c>
      <c r="M97" s="70" t="str">
        <f t="shared" si="11"/>
        <v>2B</v>
      </c>
    </row>
    <row r="98" spans="1:13" x14ac:dyDescent="0.25">
      <c r="A98" s="76">
        <v>10847</v>
      </c>
      <c r="B98" s="12" t="s">
        <v>89</v>
      </c>
      <c r="C98" s="64" t="str">
        <f>_xlfn.XLOOKUP(A98,Table8[Employee Number],Table8[Joining Date],"")</f>
        <v>10/05/2021</v>
      </c>
      <c r="D98" s="12" t="s">
        <v>586</v>
      </c>
      <c r="E98" s="12" t="s">
        <v>559</v>
      </c>
      <c r="F98" s="12" t="s">
        <v>91</v>
      </c>
      <c r="G98" s="12" t="s">
        <v>88</v>
      </c>
      <c r="H98" s="65">
        <f t="shared" si="12"/>
        <v>4.3</v>
      </c>
      <c r="I98" s="65">
        <v>4.3</v>
      </c>
      <c r="J98" s="65">
        <v>4.3</v>
      </c>
      <c r="K98" s="12" t="str">
        <f t="shared" si="9"/>
        <v>Average</v>
      </c>
      <c r="L98" s="12" t="str">
        <f t="shared" si="10"/>
        <v>Medium</v>
      </c>
      <c r="M98" s="70" t="str">
        <f t="shared" si="11"/>
        <v>2B</v>
      </c>
    </row>
    <row r="99" spans="1:13" x14ac:dyDescent="0.25">
      <c r="A99" s="76">
        <v>10831</v>
      </c>
      <c r="B99" s="12" t="s">
        <v>432</v>
      </c>
      <c r="C99" s="64" t="str">
        <f>_xlfn.XLOOKUP(A99,Table8[Employee Number],Table8[Joining Date],"")</f>
        <v>17/01/2021</v>
      </c>
      <c r="D99" s="12" t="s">
        <v>586</v>
      </c>
      <c r="E99" s="12" t="s">
        <v>561</v>
      </c>
      <c r="F99" s="12" t="s">
        <v>249</v>
      </c>
      <c r="G99" s="12" t="s">
        <v>250</v>
      </c>
      <c r="H99" s="65">
        <f t="shared" si="12"/>
        <v>4</v>
      </c>
      <c r="I99" s="65">
        <v>4</v>
      </c>
      <c r="J99" s="65">
        <v>4</v>
      </c>
      <c r="K99" s="12" t="str">
        <f t="shared" si="9"/>
        <v>Average</v>
      </c>
      <c r="L99" s="12" t="str">
        <f t="shared" si="10"/>
        <v>Medium</v>
      </c>
      <c r="M99" s="70" t="str">
        <f t="shared" si="11"/>
        <v>2B</v>
      </c>
    </row>
    <row r="100" spans="1:13" x14ac:dyDescent="0.25">
      <c r="A100" s="76">
        <v>2152</v>
      </c>
      <c r="B100" s="12" t="s">
        <v>173</v>
      </c>
      <c r="C100" s="64" t="str">
        <f>_xlfn.XLOOKUP(A100,Table8[Employee Number],Table8[Joining Date],"")</f>
        <v>01/01/2021</v>
      </c>
      <c r="D100" s="12" t="s">
        <v>586</v>
      </c>
      <c r="E100" s="12" t="s">
        <v>560</v>
      </c>
      <c r="F100" s="12" t="s">
        <v>415</v>
      </c>
      <c r="G100" s="12" t="s">
        <v>413</v>
      </c>
      <c r="H100" s="65">
        <f t="shared" si="12"/>
        <v>4.4499999999999993</v>
      </c>
      <c r="I100" s="65">
        <v>4.5999999999999996</v>
      </c>
      <c r="J100" s="65">
        <v>4.3</v>
      </c>
      <c r="K100" s="12" t="str">
        <f t="shared" si="9"/>
        <v>High</v>
      </c>
      <c r="L100" s="12" t="str">
        <f t="shared" si="10"/>
        <v>Medium</v>
      </c>
      <c r="M100" s="70" t="str">
        <f t="shared" si="11"/>
        <v>2C</v>
      </c>
    </row>
    <row r="101" spans="1:13" x14ac:dyDescent="0.25">
      <c r="A101" s="76">
        <v>6627</v>
      </c>
      <c r="B101" s="12" t="s">
        <v>392</v>
      </c>
      <c r="C101" s="64" t="str">
        <f>_xlfn.XLOOKUP(A101,Table8[Employee Number],Table8[Joining Date],"")</f>
        <v>01/06/2022</v>
      </c>
      <c r="D101" s="12" t="s">
        <v>587</v>
      </c>
      <c r="E101" s="12" t="s">
        <v>559</v>
      </c>
      <c r="F101" s="12" t="s">
        <v>51</v>
      </c>
      <c r="G101" s="12" t="s">
        <v>65</v>
      </c>
      <c r="H101" s="65">
        <f t="shared" si="12"/>
        <v>3.9</v>
      </c>
      <c r="I101" s="65">
        <v>4</v>
      </c>
      <c r="J101" s="65">
        <v>3.8</v>
      </c>
      <c r="K101" s="12" t="str">
        <f t="shared" si="9"/>
        <v>Average</v>
      </c>
      <c r="L101" s="12" t="str">
        <f t="shared" si="10"/>
        <v>Medium</v>
      </c>
      <c r="M101" s="70" t="str">
        <f t="shared" si="11"/>
        <v>2B</v>
      </c>
    </row>
    <row r="102" spans="1:13" x14ac:dyDescent="0.25">
      <c r="A102" s="76">
        <v>6546</v>
      </c>
      <c r="B102" s="12" t="s">
        <v>394</v>
      </c>
      <c r="C102" s="64" t="str">
        <f>_xlfn.XLOOKUP(A102,Table8[Employee Number],Table8[Joining Date],"")</f>
        <v>01/06/2022</v>
      </c>
      <c r="D102" s="12" t="s">
        <v>587</v>
      </c>
      <c r="E102" s="12" t="s">
        <v>559</v>
      </c>
      <c r="F102" s="12" t="s">
        <v>395</v>
      </c>
      <c r="G102" s="12" t="s">
        <v>384</v>
      </c>
      <c r="H102" s="65">
        <f t="shared" si="12"/>
        <v>4.55</v>
      </c>
      <c r="I102" s="65">
        <v>4.8</v>
      </c>
      <c r="J102" s="65">
        <v>4.3</v>
      </c>
      <c r="K102" s="12" t="str">
        <f t="shared" si="9"/>
        <v>High</v>
      </c>
      <c r="L102" s="12" t="str">
        <f t="shared" si="10"/>
        <v>Medium</v>
      </c>
      <c r="M102" s="70" t="str">
        <f t="shared" si="11"/>
        <v>2C</v>
      </c>
    </row>
    <row r="103" spans="1:13" x14ac:dyDescent="0.25">
      <c r="A103" s="76">
        <v>6558</v>
      </c>
      <c r="B103" s="12" t="s">
        <v>351</v>
      </c>
      <c r="C103" s="64" t="str">
        <f>_xlfn.XLOOKUP(A103,Table8[Employee Number],Table8[Joining Date],"")</f>
        <v>01/06/2022</v>
      </c>
      <c r="D103" s="12" t="s">
        <v>587</v>
      </c>
      <c r="E103" s="12" t="s">
        <v>558</v>
      </c>
      <c r="F103" s="12" t="s">
        <v>318</v>
      </c>
      <c r="G103" s="12" t="s">
        <v>319</v>
      </c>
      <c r="H103" s="65">
        <f t="shared" si="12"/>
        <v>4.1500000000000004</v>
      </c>
      <c r="I103" s="65">
        <v>4.0999999999999996</v>
      </c>
      <c r="J103" s="65">
        <v>4.2</v>
      </c>
      <c r="K103" s="12" t="str">
        <f t="shared" si="9"/>
        <v>Average</v>
      </c>
      <c r="L103" s="12" t="str">
        <f t="shared" si="10"/>
        <v>Medium</v>
      </c>
      <c r="M103" s="70" t="str">
        <f t="shared" si="11"/>
        <v>2B</v>
      </c>
    </row>
    <row r="104" spans="1:13" x14ac:dyDescent="0.25">
      <c r="A104" s="76">
        <v>48294</v>
      </c>
      <c r="B104" s="12" t="s">
        <v>41</v>
      </c>
      <c r="C104" s="64" t="str">
        <f>_xlfn.XLOOKUP(A104,Table8[Employee Number],Table8[Joining Date],"")</f>
        <v>01/11/2023</v>
      </c>
      <c r="D104" s="12" t="s">
        <v>587</v>
      </c>
      <c r="E104" s="12" t="s">
        <v>555</v>
      </c>
      <c r="F104" s="12" t="s">
        <v>22</v>
      </c>
      <c r="G104" s="12" t="s">
        <v>443</v>
      </c>
      <c r="H104" s="65">
        <f t="shared" si="12"/>
        <v>5</v>
      </c>
      <c r="I104" s="65">
        <v>5</v>
      </c>
      <c r="J104" s="65">
        <v>5</v>
      </c>
      <c r="K104" s="12" t="str">
        <f t="shared" si="9"/>
        <v>High</v>
      </c>
      <c r="L104" s="12" t="str">
        <f t="shared" si="10"/>
        <v>High</v>
      </c>
      <c r="M104" s="70" t="str">
        <f t="shared" si="11"/>
        <v>3C</v>
      </c>
    </row>
    <row r="105" spans="1:13" x14ac:dyDescent="0.25">
      <c r="A105" s="76">
        <v>6550</v>
      </c>
      <c r="B105" s="12" t="s">
        <v>65</v>
      </c>
      <c r="C105" s="64" t="str">
        <f>_xlfn.XLOOKUP(A105,Table8[Employee Number],Table8[Joining Date],"")</f>
        <v>01/06/2022</v>
      </c>
      <c r="D105" s="12" t="s">
        <v>587</v>
      </c>
      <c r="E105" s="12" t="s">
        <v>559</v>
      </c>
      <c r="F105" s="12" t="s">
        <v>393</v>
      </c>
      <c r="G105" s="12" t="s">
        <v>394</v>
      </c>
      <c r="H105" s="65">
        <f t="shared" si="12"/>
        <v>4.1500000000000004</v>
      </c>
      <c r="I105" s="65">
        <v>4</v>
      </c>
      <c r="J105" s="65">
        <v>4.3</v>
      </c>
      <c r="K105" s="12" t="str">
        <f t="shared" si="9"/>
        <v>Average</v>
      </c>
      <c r="L105" s="12" t="str">
        <f t="shared" si="10"/>
        <v>Medium</v>
      </c>
      <c r="M105" s="70" t="str">
        <f t="shared" si="11"/>
        <v>2B</v>
      </c>
    </row>
    <row r="106" spans="1:13" x14ac:dyDescent="0.25">
      <c r="A106" s="76">
        <v>49236</v>
      </c>
      <c r="B106" s="12" t="s">
        <v>226</v>
      </c>
      <c r="C106" s="64" t="str">
        <f>_xlfn.XLOOKUP(A106,Table8[Employee Number],Table8[Joining Date],"")</f>
        <v>07/05/2024</v>
      </c>
      <c r="D106" s="12" t="s">
        <v>587</v>
      </c>
      <c r="E106" s="12" t="s">
        <v>561</v>
      </c>
      <c r="F106" s="12" t="s">
        <v>228</v>
      </c>
      <c r="G106" s="12" t="s">
        <v>573</v>
      </c>
      <c r="H106" s="65">
        <f t="shared" si="12"/>
        <v>4</v>
      </c>
      <c r="I106" s="65">
        <v>4</v>
      </c>
      <c r="J106" s="65">
        <v>4</v>
      </c>
      <c r="K106" s="12" t="str">
        <f t="shared" ref="K106:K137" si="13">IF(H106="","",
IF(OR(H106="NR",H106="NA"),"NA",
IF(H106&lt;$I$3,$H$3,
IF(H106&lt;$I$4,$H$4,$H$5)
)))</f>
        <v>Average</v>
      </c>
      <c r="L106" s="12" t="str">
        <f t="shared" ref="L106:L137" si="14">IF(J106="","",
IF(OR(J106="NR",J106="NA"),"NA",
IF(J106&lt;$L$3,$K$3,
IF(J106&lt;$L$4,$K$4,$K$5)
)))</f>
        <v>Medium</v>
      </c>
      <c r="M106" s="70" t="str">
        <f t="shared" ref="M106:M137" si="15">IF(OR(K106="",L106=""),"",
IF(AND(K106=$H$5,L106=$K$5),"3C",
IF(AND(K106=$H$4,L106=$K$5),"3B",
IF(AND(K106=$H$3,L106=$K$5),"3A",
IF(AND(K106=$H$5,L106=$K$4),"2C",
IF(AND(K106=$H$4,L106=$K$4),"2B",
IF(AND(K106=$H$3,L106=$K$4),"2A",
IF(AND(K106=$H$5,L106=$K$3),"1C",
IF(AND(K106=$H$4,L106=$K$3),"1B",
IF(AND(K106=$H$3,L106=$K$3),"1A","")
)))))))))</f>
        <v>2B</v>
      </c>
    </row>
    <row r="107" spans="1:13" x14ac:dyDescent="0.25">
      <c r="A107" s="76">
        <v>6590</v>
      </c>
      <c r="B107" s="12" t="s">
        <v>208</v>
      </c>
      <c r="C107" s="64" t="str">
        <f>_xlfn.XLOOKUP(A107,Table8[Employee Number],Table8[Joining Date],"")</f>
        <v>01/06/2022</v>
      </c>
      <c r="D107" s="12" t="s">
        <v>587</v>
      </c>
      <c r="E107" s="12" t="s">
        <v>561</v>
      </c>
      <c r="F107" s="12" t="s">
        <v>209</v>
      </c>
      <c r="G107" s="12" t="s">
        <v>200</v>
      </c>
      <c r="H107" s="65">
        <f t="shared" si="12"/>
        <v>3</v>
      </c>
      <c r="I107" s="65">
        <v>3</v>
      </c>
      <c r="J107" s="65">
        <v>3</v>
      </c>
      <c r="K107" s="12" t="str">
        <f t="shared" si="13"/>
        <v>Poor</v>
      </c>
      <c r="L107" s="12" t="str">
        <f t="shared" si="14"/>
        <v>Medium</v>
      </c>
      <c r="M107" s="70" t="str">
        <f t="shared" si="15"/>
        <v>2A</v>
      </c>
    </row>
    <row r="108" spans="1:13" x14ac:dyDescent="0.25">
      <c r="A108" s="76">
        <v>6551</v>
      </c>
      <c r="B108" s="12" t="s">
        <v>76</v>
      </c>
      <c r="C108" s="64" t="str">
        <f>_xlfn.XLOOKUP(A108,Table8[Employee Number],Table8[Joining Date],"")</f>
        <v>01/06/2022</v>
      </c>
      <c r="D108" s="12" t="s">
        <v>587</v>
      </c>
      <c r="E108" s="12" t="s">
        <v>559</v>
      </c>
      <c r="F108" s="12" t="s">
        <v>390</v>
      </c>
      <c r="G108" s="12" t="s">
        <v>65</v>
      </c>
      <c r="H108" s="65">
        <f t="shared" si="12"/>
        <v>3.8</v>
      </c>
      <c r="I108" s="65">
        <v>3.9</v>
      </c>
      <c r="J108" s="65">
        <v>3.7</v>
      </c>
      <c r="K108" s="12" t="str">
        <f t="shared" si="13"/>
        <v>Average</v>
      </c>
      <c r="L108" s="12" t="str">
        <f t="shared" si="14"/>
        <v>Medium</v>
      </c>
      <c r="M108" s="70" t="str">
        <f t="shared" si="15"/>
        <v>2B</v>
      </c>
    </row>
    <row r="109" spans="1:13" x14ac:dyDescent="0.25">
      <c r="A109" s="76">
        <v>6593</v>
      </c>
      <c r="B109" s="12" t="s">
        <v>40</v>
      </c>
      <c r="C109" s="64" t="str">
        <f>_xlfn.XLOOKUP(A109,Table8[Employee Number],Table8[Joining Date],"")</f>
        <v>01/06/2022</v>
      </c>
      <c r="D109" s="12" t="s">
        <v>587</v>
      </c>
      <c r="E109" s="12" t="s">
        <v>555</v>
      </c>
      <c r="F109" s="12" t="s">
        <v>39</v>
      </c>
      <c r="G109" s="12" t="s">
        <v>443</v>
      </c>
      <c r="H109" s="65">
        <f t="shared" si="12"/>
        <v>5</v>
      </c>
      <c r="I109" s="65">
        <v>5</v>
      </c>
      <c r="J109" s="65">
        <v>5</v>
      </c>
      <c r="K109" s="12" t="str">
        <f t="shared" si="13"/>
        <v>High</v>
      </c>
      <c r="L109" s="12" t="str">
        <f t="shared" si="14"/>
        <v>High</v>
      </c>
      <c r="M109" s="70" t="str">
        <f t="shared" si="15"/>
        <v>3C</v>
      </c>
    </row>
    <row r="110" spans="1:13" x14ac:dyDescent="0.25">
      <c r="A110" s="76">
        <v>6515</v>
      </c>
      <c r="B110" s="12" t="s">
        <v>311</v>
      </c>
      <c r="C110" s="64" t="str">
        <f>_xlfn.XLOOKUP(A110,Table8[Employee Number],Table8[Joining Date],"")</f>
        <v>07/10/2024</v>
      </c>
      <c r="D110" s="12" t="s">
        <v>586</v>
      </c>
      <c r="E110" s="12" t="s">
        <v>566</v>
      </c>
      <c r="F110" s="12" t="s">
        <v>307</v>
      </c>
      <c r="G110" s="12" t="s">
        <v>308</v>
      </c>
      <c r="H110" s="65">
        <f t="shared" si="12"/>
        <v>4</v>
      </c>
      <c r="I110" s="65">
        <v>4</v>
      </c>
      <c r="J110" s="65">
        <v>4</v>
      </c>
      <c r="K110" s="12" t="str">
        <f t="shared" si="13"/>
        <v>Average</v>
      </c>
      <c r="L110" s="12" t="str">
        <f t="shared" si="14"/>
        <v>Medium</v>
      </c>
      <c r="M110" s="70" t="str">
        <f t="shared" si="15"/>
        <v>2B</v>
      </c>
    </row>
    <row r="111" spans="1:13" x14ac:dyDescent="0.25">
      <c r="A111" s="76">
        <v>48483</v>
      </c>
      <c r="B111" s="12" t="s">
        <v>251</v>
      </c>
      <c r="C111" s="64" t="str">
        <f>_xlfn.XLOOKUP(A111,Table8[Employee Number],Table8[Joining Date],"")</f>
        <v>11/12/2023</v>
      </c>
      <c r="D111" s="12" t="s">
        <v>586</v>
      </c>
      <c r="E111" s="12" t="s">
        <v>561</v>
      </c>
      <c r="F111" s="12" t="s">
        <v>253</v>
      </c>
      <c r="G111" s="12" t="s">
        <v>250</v>
      </c>
      <c r="H111" s="65">
        <f t="shared" si="12"/>
        <v>4</v>
      </c>
      <c r="I111" s="65">
        <v>4</v>
      </c>
      <c r="J111" s="65">
        <v>4</v>
      </c>
      <c r="K111" s="12" t="str">
        <f t="shared" si="13"/>
        <v>Average</v>
      </c>
      <c r="L111" s="12" t="str">
        <f t="shared" si="14"/>
        <v>Medium</v>
      </c>
      <c r="M111" s="70" t="str">
        <f t="shared" si="15"/>
        <v>2B</v>
      </c>
    </row>
    <row r="112" spans="1:13" x14ac:dyDescent="0.25">
      <c r="A112" s="76">
        <v>6556</v>
      </c>
      <c r="B112" s="12" t="s">
        <v>352</v>
      </c>
      <c r="C112" s="64" t="str">
        <f>_xlfn.XLOOKUP(A112,Table8[Employee Number],Table8[Joining Date],"")</f>
        <v>01/06/2022</v>
      </c>
      <c r="D112" s="12" t="s">
        <v>587</v>
      </c>
      <c r="E112" s="12" t="s">
        <v>558</v>
      </c>
      <c r="F112" s="12" t="s">
        <v>321</v>
      </c>
      <c r="G112" s="12" t="s">
        <v>319</v>
      </c>
      <c r="H112" s="65">
        <f t="shared" si="12"/>
        <v>3.95</v>
      </c>
      <c r="I112" s="65">
        <v>3.9</v>
      </c>
      <c r="J112" s="65">
        <v>4</v>
      </c>
      <c r="K112" s="12" t="str">
        <f t="shared" si="13"/>
        <v>Average</v>
      </c>
      <c r="L112" s="12" t="str">
        <f t="shared" si="14"/>
        <v>Medium</v>
      </c>
      <c r="M112" s="70" t="str">
        <f t="shared" si="15"/>
        <v>2B</v>
      </c>
    </row>
    <row r="113" spans="1:13" x14ac:dyDescent="0.25">
      <c r="A113" s="76">
        <v>48408</v>
      </c>
      <c r="B113" s="12" t="s">
        <v>210</v>
      </c>
      <c r="C113" s="64" t="str">
        <f>_xlfn.XLOOKUP(A113,Table8[Employee Number],Table8[Joining Date],"")</f>
        <v>01/01/2024</v>
      </c>
      <c r="D113" s="12" t="s">
        <v>585</v>
      </c>
      <c r="E113" s="12" t="s">
        <v>561</v>
      </c>
      <c r="F113" s="12" t="s">
        <v>195</v>
      </c>
      <c r="G113" s="12" t="s">
        <v>196</v>
      </c>
      <c r="H113" s="65">
        <f t="shared" si="12"/>
        <v>3</v>
      </c>
      <c r="I113" s="65">
        <v>3</v>
      </c>
      <c r="J113" s="65">
        <v>3</v>
      </c>
      <c r="K113" s="12" t="str">
        <f t="shared" si="13"/>
        <v>Poor</v>
      </c>
      <c r="L113" s="12" t="str">
        <f t="shared" si="14"/>
        <v>Medium</v>
      </c>
      <c r="M113" s="70" t="str">
        <f t="shared" si="15"/>
        <v>2A</v>
      </c>
    </row>
    <row r="114" spans="1:13" x14ac:dyDescent="0.25">
      <c r="A114" s="76">
        <v>6562</v>
      </c>
      <c r="B114" s="12" t="s">
        <v>354</v>
      </c>
      <c r="C114" s="64" t="str">
        <f>_xlfn.XLOOKUP(A114,Table8[Employee Number],Table8[Joining Date],"")</f>
        <v>01/06/2022</v>
      </c>
      <c r="D114" s="12" t="s">
        <v>587</v>
      </c>
      <c r="E114" s="12" t="s">
        <v>558</v>
      </c>
      <c r="F114" s="12" t="s">
        <v>321</v>
      </c>
      <c r="G114" s="12" t="s">
        <v>319</v>
      </c>
      <c r="H114" s="65">
        <f t="shared" si="12"/>
        <v>3.9</v>
      </c>
      <c r="I114" s="65">
        <v>3.8</v>
      </c>
      <c r="J114" s="65">
        <v>4</v>
      </c>
      <c r="K114" s="12" t="str">
        <f t="shared" si="13"/>
        <v>Average</v>
      </c>
      <c r="L114" s="12" t="str">
        <f t="shared" si="14"/>
        <v>Medium</v>
      </c>
      <c r="M114" s="70" t="str">
        <f t="shared" si="15"/>
        <v>2B</v>
      </c>
    </row>
    <row r="115" spans="1:13" x14ac:dyDescent="0.25">
      <c r="A115" s="76">
        <v>48842</v>
      </c>
      <c r="B115" s="12" t="s">
        <v>128</v>
      </c>
      <c r="C115" s="64" t="str">
        <f>_xlfn.XLOOKUP(A115,Table8[Employee Number],Table8[Joining Date],"")</f>
        <v>18/02/2024</v>
      </c>
      <c r="D115" s="12" t="s">
        <v>585</v>
      </c>
      <c r="E115" s="12" t="s">
        <v>556</v>
      </c>
      <c r="F115" s="12" t="s">
        <v>99</v>
      </c>
      <c r="G115" s="12" t="s">
        <v>107</v>
      </c>
      <c r="H115" s="65">
        <f t="shared" si="12"/>
        <v>4.3</v>
      </c>
      <c r="I115" s="65">
        <v>4.3</v>
      </c>
      <c r="J115" s="65">
        <v>4.3</v>
      </c>
      <c r="K115" s="12" t="str">
        <f t="shared" si="13"/>
        <v>Average</v>
      </c>
      <c r="L115" s="12" t="str">
        <f t="shared" si="14"/>
        <v>Medium</v>
      </c>
      <c r="M115" s="70" t="str">
        <f t="shared" si="15"/>
        <v>2B</v>
      </c>
    </row>
    <row r="116" spans="1:13" x14ac:dyDescent="0.25">
      <c r="A116" s="76">
        <v>6608</v>
      </c>
      <c r="B116" s="12" t="s">
        <v>43</v>
      </c>
      <c r="C116" s="64" t="str">
        <f>_xlfn.XLOOKUP(A116,Table8[Employee Number],Table8[Joining Date],"")</f>
        <v>01/06/2022</v>
      </c>
      <c r="D116" s="12" t="s">
        <v>587</v>
      </c>
      <c r="E116" s="12" t="s">
        <v>555</v>
      </c>
      <c r="F116" s="12" t="s">
        <v>39</v>
      </c>
      <c r="G116" s="12" t="s">
        <v>443</v>
      </c>
      <c r="H116" s="65">
        <f t="shared" si="12"/>
        <v>2</v>
      </c>
      <c r="I116" s="65">
        <v>2</v>
      </c>
      <c r="J116" s="65">
        <v>2</v>
      </c>
      <c r="K116" s="12" t="str">
        <f t="shared" si="13"/>
        <v>Poor</v>
      </c>
      <c r="L116" s="12" t="str">
        <f t="shared" si="14"/>
        <v>Low</v>
      </c>
      <c r="M116" s="70" t="str">
        <f t="shared" si="15"/>
        <v>1A</v>
      </c>
    </row>
    <row r="117" spans="1:13" x14ac:dyDescent="0.25">
      <c r="A117" s="76">
        <v>6547</v>
      </c>
      <c r="B117" s="12" t="s">
        <v>355</v>
      </c>
      <c r="C117" s="64" t="str">
        <f>_xlfn.XLOOKUP(A117,Table8[Employee Number],Table8[Joining Date],"")</f>
        <v>01/06/2022</v>
      </c>
      <c r="D117" s="12" t="s">
        <v>587</v>
      </c>
      <c r="E117" s="12" t="s">
        <v>558</v>
      </c>
      <c r="F117" s="12" t="s">
        <v>356</v>
      </c>
      <c r="G117" s="12" t="s">
        <v>319</v>
      </c>
      <c r="H117" s="65">
        <f t="shared" si="12"/>
        <v>3.8</v>
      </c>
      <c r="I117" s="65">
        <v>3.8</v>
      </c>
      <c r="J117" s="65">
        <v>3.8</v>
      </c>
      <c r="K117" s="12" t="str">
        <f t="shared" si="13"/>
        <v>Average</v>
      </c>
      <c r="L117" s="12" t="str">
        <f t="shared" si="14"/>
        <v>Medium</v>
      </c>
      <c r="M117" s="70" t="str">
        <f t="shared" si="15"/>
        <v>2B</v>
      </c>
    </row>
    <row r="118" spans="1:13" x14ac:dyDescent="0.25">
      <c r="A118" s="76">
        <v>48410</v>
      </c>
      <c r="B118" s="12" t="s">
        <v>44</v>
      </c>
      <c r="C118" s="64" t="str">
        <f>_xlfn.XLOOKUP(A118,Table8[Employee Number],Table8[Joining Date],"")</f>
        <v>01/12/2023</v>
      </c>
      <c r="D118" s="12" t="s">
        <v>587</v>
      </c>
      <c r="E118" s="12" t="s">
        <v>555</v>
      </c>
      <c r="F118" s="12" t="s">
        <v>39</v>
      </c>
      <c r="G118" s="12" t="s">
        <v>443</v>
      </c>
      <c r="H118" s="65">
        <f t="shared" si="12"/>
        <v>4</v>
      </c>
      <c r="I118" s="65">
        <v>4</v>
      </c>
      <c r="J118" s="65">
        <v>4</v>
      </c>
      <c r="K118" s="12" t="str">
        <f t="shared" si="13"/>
        <v>Average</v>
      </c>
      <c r="L118" s="12" t="str">
        <f t="shared" si="14"/>
        <v>Medium</v>
      </c>
      <c r="M118" s="70" t="str">
        <f t="shared" si="15"/>
        <v>2B</v>
      </c>
    </row>
    <row r="119" spans="1:13" x14ac:dyDescent="0.25">
      <c r="A119" s="76">
        <v>10851</v>
      </c>
      <c r="B119" s="12" t="s">
        <v>46</v>
      </c>
      <c r="C119" s="64" t="str">
        <f>_xlfn.XLOOKUP(A119,Table8[Employee Number],Table8[Joining Date],"")</f>
        <v>25/05/2021</v>
      </c>
      <c r="D119" s="12" t="s">
        <v>586</v>
      </c>
      <c r="E119" s="12" t="s">
        <v>555</v>
      </c>
      <c r="F119" s="12" t="s">
        <v>48</v>
      </c>
      <c r="G119" s="12" t="s">
        <v>29</v>
      </c>
      <c r="H119" s="65">
        <f t="shared" si="12"/>
        <v>4.8499999999999996</v>
      </c>
      <c r="I119" s="65">
        <v>5</v>
      </c>
      <c r="J119" s="65">
        <v>4.7</v>
      </c>
      <c r="K119" s="12" t="str">
        <f t="shared" si="13"/>
        <v>High</v>
      </c>
      <c r="L119" s="12" t="str">
        <f t="shared" si="14"/>
        <v>High</v>
      </c>
      <c r="M119" s="70" t="str">
        <f t="shared" si="15"/>
        <v>3C</v>
      </c>
    </row>
    <row r="120" spans="1:13" x14ac:dyDescent="0.25">
      <c r="A120" s="76">
        <v>48222</v>
      </c>
      <c r="B120" s="12" t="s">
        <v>187</v>
      </c>
      <c r="C120" s="64" t="str">
        <f>_xlfn.XLOOKUP(A120,Table8[Employee Number],Table8[Joining Date],"")</f>
        <v>29/10/2023</v>
      </c>
      <c r="D120" s="12" t="s">
        <v>585</v>
      </c>
      <c r="E120" s="12" t="s">
        <v>574</v>
      </c>
      <c r="F120" s="12" t="s">
        <v>189</v>
      </c>
      <c r="G120" s="12" t="s">
        <v>151</v>
      </c>
      <c r="H120" s="65" t="s">
        <v>19</v>
      </c>
      <c r="I120" s="65" t="s">
        <v>19</v>
      </c>
      <c r="J120" s="65" t="s">
        <v>19</v>
      </c>
      <c r="K120" s="12" t="str">
        <f t="shared" si="13"/>
        <v>NA</v>
      </c>
      <c r="L120" s="12" t="str">
        <f t="shared" si="14"/>
        <v>NA</v>
      </c>
      <c r="M120" s="70" t="str">
        <f t="shared" si="15"/>
        <v/>
      </c>
    </row>
    <row r="121" spans="1:13" x14ac:dyDescent="0.25">
      <c r="A121" s="76">
        <v>10114</v>
      </c>
      <c r="B121" s="12" t="s">
        <v>386</v>
      </c>
      <c r="C121" s="64" t="str">
        <f>_xlfn.XLOOKUP(A121,Table8[Employee Number],Table8[Joining Date],"")</f>
        <v>01/10/2020</v>
      </c>
      <c r="D121" s="12" t="s">
        <v>586</v>
      </c>
      <c r="E121" s="12" t="s">
        <v>567</v>
      </c>
      <c r="F121" s="12" t="s">
        <v>424</v>
      </c>
      <c r="G121" s="12" t="s">
        <v>151</v>
      </c>
      <c r="H121" s="65" t="s">
        <v>19</v>
      </c>
      <c r="I121" s="65" t="s">
        <v>19</v>
      </c>
      <c r="J121" s="65" t="s">
        <v>19</v>
      </c>
      <c r="K121" s="12" t="str">
        <f t="shared" si="13"/>
        <v>NA</v>
      </c>
      <c r="L121" s="12" t="str">
        <f t="shared" si="14"/>
        <v>NA</v>
      </c>
      <c r="M121" s="70" t="str">
        <f t="shared" si="15"/>
        <v/>
      </c>
    </row>
    <row r="122" spans="1:13" x14ac:dyDescent="0.25">
      <c r="A122" s="76">
        <v>10308</v>
      </c>
      <c r="B122" s="12" t="s">
        <v>92</v>
      </c>
      <c r="C122" s="64" t="str">
        <f>_xlfn.XLOOKUP(A122,Table8[Employee Number],Table8[Joining Date],"")</f>
        <v>25/10/2020</v>
      </c>
      <c r="D122" s="12" t="s">
        <v>586</v>
      </c>
      <c r="E122" s="12" t="s">
        <v>559</v>
      </c>
      <c r="F122" s="12" t="s">
        <v>91</v>
      </c>
      <c r="G122" s="12" t="s">
        <v>88</v>
      </c>
      <c r="H122" s="65">
        <f t="shared" ref="H122:H132" si="16">AVERAGE(J122,I122)</f>
        <v>4.3000000000000007</v>
      </c>
      <c r="I122" s="65">
        <v>4.4000000000000004</v>
      </c>
      <c r="J122" s="65">
        <v>4.2</v>
      </c>
      <c r="K122" s="12" t="str">
        <f t="shared" si="13"/>
        <v>Average</v>
      </c>
      <c r="L122" s="12" t="str">
        <f t="shared" si="14"/>
        <v>Medium</v>
      </c>
      <c r="M122" s="70" t="str">
        <f t="shared" si="15"/>
        <v>2B</v>
      </c>
    </row>
    <row r="123" spans="1:13" x14ac:dyDescent="0.25">
      <c r="A123" s="76">
        <v>4708</v>
      </c>
      <c r="B123" s="12" t="s">
        <v>333</v>
      </c>
      <c r="C123" s="64" t="str">
        <f>_xlfn.XLOOKUP(A123,Table8[Employee Number],Table8[Joining Date],"")</f>
        <v>01/01/2021</v>
      </c>
      <c r="D123" s="12" t="s">
        <v>586</v>
      </c>
      <c r="E123" s="12" t="s">
        <v>558</v>
      </c>
      <c r="F123" s="12" t="s">
        <v>466</v>
      </c>
      <c r="G123" s="12" t="s">
        <v>316</v>
      </c>
      <c r="H123" s="65">
        <f t="shared" si="16"/>
        <v>4.75</v>
      </c>
      <c r="I123" s="65">
        <v>4.8</v>
      </c>
      <c r="J123" s="65">
        <v>4.7</v>
      </c>
      <c r="K123" s="12" t="str">
        <f t="shared" si="13"/>
        <v>High</v>
      </c>
      <c r="L123" s="12" t="str">
        <f t="shared" si="14"/>
        <v>High</v>
      </c>
      <c r="M123" s="70" t="str">
        <f t="shared" si="15"/>
        <v>3C</v>
      </c>
    </row>
    <row r="124" spans="1:13" x14ac:dyDescent="0.25">
      <c r="A124" s="76">
        <v>10841</v>
      </c>
      <c r="B124" s="12" t="s">
        <v>280</v>
      </c>
      <c r="C124" s="64" t="str">
        <f>_xlfn.XLOOKUP(A124,Table8[Employee Number],Table8[Joining Date],"")</f>
        <v>28/03/2021</v>
      </c>
      <c r="D124" s="12" t="s">
        <v>586</v>
      </c>
      <c r="E124" s="12" t="s">
        <v>557</v>
      </c>
      <c r="F124" s="12" t="s">
        <v>282</v>
      </c>
      <c r="G124" s="12" t="s">
        <v>283</v>
      </c>
      <c r="H124" s="65">
        <f t="shared" si="16"/>
        <v>4.8</v>
      </c>
      <c r="I124" s="65">
        <v>4.5999999999999996</v>
      </c>
      <c r="J124" s="65">
        <v>5</v>
      </c>
      <c r="K124" s="12" t="str">
        <f t="shared" si="13"/>
        <v>High</v>
      </c>
      <c r="L124" s="12" t="str">
        <f t="shared" si="14"/>
        <v>High</v>
      </c>
      <c r="M124" s="70" t="str">
        <f t="shared" si="15"/>
        <v>3C</v>
      </c>
    </row>
    <row r="125" spans="1:13" x14ac:dyDescent="0.25">
      <c r="A125" s="76">
        <v>10832</v>
      </c>
      <c r="B125" s="12" t="s">
        <v>357</v>
      </c>
      <c r="C125" s="64" t="str">
        <f>_xlfn.XLOOKUP(A125,Table8[Employee Number],Table8[Joining Date],"")</f>
        <v>22/02/2021</v>
      </c>
      <c r="D125" s="12" t="s">
        <v>586</v>
      </c>
      <c r="E125" s="12" t="s">
        <v>558</v>
      </c>
      <c r="F125" s="12" t="s">
        <v>315</v>
      </c>
      <c r="G125" s="12" t="s">
        <v>316</v>
      </c>
      <c r="H125" s="65">
        <f t="shared" si="16"/>
        <v>4.6500000000000004</v>
      </c>
      <c r="I125" s="65">
        <v>4.5</v>
      </c>
      <c r="J125" s="65">
        <v>4.8</v>
      </c>
      <c r="K125" s="12" t="str">
        <f t="shared" si="13"/>
        <v>High</v>
      </c>
      <c r="L125" s="12" t="str">
        <f t="shared" si="14"/>
        <v>High</v>
      </c>
      <c r="M125" s="70" t="str">
        <f t="shared" si="15"/>
        <v>3C</v>
      </c>
    </row>
    <row r="126" spans="1:13" x14ac:dyDescent="0.25">
      <c r="A126" s="76">
        <v>31262</v>
      </c>
      <c r="B126" s="12" t="s">
        <v>259</v>
      </c>
      <c r="C126" s="64" t="str">
        <f>_xlfn.XLOOKUP(A126,Table8[Employee Number],Table8[Joining Date],"")</f>
        <v>16/01/2022</v>
      </c>
      <c r="D126" s="12" t="s">
        <v>585</v>
      </c>
      <c r="E126" s="12" t="s">
        <v>562</v>
      </c>
      <c r="F126" s="12" t="s">
        <v>261</v>
      </c>
      <c r="G126" s="12" t="s">
        <v>15</v>
      </c>
      <c r="H126" s="65">
        <f t="shared" si="16"/>
        <v>4.95</v>
      </c>
      <c r="I126" s="65">
        <v>4.9000000000000004</v>
      </c>
      <c r="J126" s="65">
        <v>5</v>
      </c>
      <c r="K126" s="12" t="str">
        <f t="shared" si="13"/>
        <v>High</v>
      </c>
      <c r="L126" s="12" t="str">
        <f t="shared" si="14"/>
        <v>High</v>
      </c>
      <c r="M126" s="70" t="str">
        <f t="shared" si="15"/>
        <v>3C</v>
      </c>
    </row>
    <row r="127" spans="1:13" x14ac:dyDescent="0.25">
      <c r="A127" s="76">
        <v>6591</v>
      </c>
      <c r="B127" s="12" t="s">
        <v>279</v>
      </c>
      <c r="C127" s="64" t="str">
        <f>_xlfn.XLOOKUP(A127,Table8[Employee Number],Table8[Joining Date],"")</f>
        <v>01/06/2022</v>
      </c>
      <c r="D127" s="12" t="s">
        <v>587</v>
      </c>
      <c r="E127" s="12" t="s">
        <v>557</v>
      </c>
      <c r="F127" s="12" t="s">
        <v>453</v>
      </c>
      <c r="G127" s="12" t="s">
        <v>394</v>
      </c>
      <c r="H127" s="65">
        <f t="shared" si="16"/>
        <v>4.8499999999999996</v>
      </c>
      <c r="I127" s="65">
        <v>5</v>
      </c>
      <c r="J127" s="65">
        <v>4.7</v>
      </c>
      <c r="K127" s="12" t="str">
        <f t="shared" si="13"/>
        <v>High</v>
      </c>
      <c r="L127" s="12" t="str">
        <f t="shared" si="14"/>
        <v>High</v>
      </c>
      <c r="M127" s="70" t="str">
        <f t="shared" si="15"/>
        <v>3C</v>
      </c>
    </row>
    <row r="128" spans="1:13" x14ac:dyDescent="0.25">
      <c r="A128" s="76">
        <v>10122</v>
      </c>
      <c r="B128" s="12" t="s">
        <v>169</v>
      </c>
      <c r="C128" s="64" t="str">
        <f>_xlfn.XLOOKUP(A128,Table8[Employee Number],Table8[Joining Date],"")</f>
        <v>01/11/2020</v>
      </c>
      <c r="D128" s="12" t="s">
        <v>586</v>
      </c>
      <c r="E128" s="12" t="s">
        <v>556</v>
      </c>
      <c r="F128" s="12" t="s">
        <v>103</v>
      </c>
      <c r="G128" s="12" t="s">
        <v>386</v>
      </c>
      <c r="H128" s="65">
        <f t="shared" si="16"/>
        <v>3.9</v>
      </c>
      <c r="I128" s="65">
        <v>3.8</v>
      </c>
      <c r="J128" s="65">
        <v>4</v>
      </c>
      <c r="K128" s="12" t="str">
        <f t="shared" si="13"/>
        <v>Average</v>
      </c>
      <c r="L128" s="12" t="str">
        <f t="shared" si="14"/>
        <v>Medium</v>
      </c>
      <c r="M128" s="70" t="str">
        <f t="shared" si="15"/>
        <v>2B</v>
      </c>
    </row>
    <row r="129" spans="1:13" x14ac:dyDescent="0.25">
      <c r="A129" s="76">
        <v>10854</v>
      </c>
      <c r="B129" s="12" t="s">
        <v>241</v>
      </c>
      <c r="C129" s="64" t="str">
        <f>_xlfn.XLOOKUP(A129,Table8[Employee Number],Table8[Joining Date],"")</f>
        <v>19/09/2021</v>
      </c>
      <c r="D129" s="12" t="s">
        <v>586</v>
      </c>
      <c r="E129" s="12" t="s">
        <v>561</v>
      </c>
      <c r="F129" s="12" t="s">
        <v>242</v>
      </c>
      <c r="G129" s="12" t="s">
        <v>243</v>
      </c>
      <c r="H129" s="65">
        <f t="shared" si="16"/>
        <v>3.15</v>
      </c>
      <c r="I129" s="65">
        <v>2.8</v>
      </c>
      <c r="J129" s="65">
        <v>3.5</v>
      </c>
      <c r="K129" s="12" t="str">
        <f t="shared" si="13"/>
        <v>Poor</v>
      </c>
      <c r="L129" s="12" t="str">
        <f t="shared" si="14"/>
        <v>Medium</v>
      </c>
      <c r="M129" s="70" t="str">
        <f t="shared" si="15"/>
        <v>2A</v>
      </c>
    </row>
    <row r="130" spans="1:13" x14ac:dyDescent="0.25">
      <c r="A130" s="76">
        <v>31431</v>
      </c>
      <c r="B130" s="12" t="s">
        <v>180</v>
      </c>
      <c r="C130" s="64" t="str">
        <f>_xlfn.XLOOKUP(A130,Table8[Employee Number],Table8[Joining Date],"")</f>
        <v>09/04/2022</v>
      </c>
      <c r="D130" s="12" t="s">
        <v>585</v>
      </c>
      <c r="E130" s="12" t="s">
        <v>560</v>
      </c>
      <c r="F130" s="12" t="s">
        <v>176</v>
      </c>
      <c r="G130" s="12" t="s">
        <v>413</v>
      </c>
      <c r="H130" s="65">
        <f t="shared" si="16"/>
        <v>4.5999999999999996</v>
      </c>
      <c r="I130" s="65">
        <v>4.7</v>
      </c>
      <c r="J130" s="65">
        <v>4.5</v>
      </c>
      <c r="K130" s="12" t="str">
        <f t="shared" si="13"/>
        <v>High</v>
      </c>
      <c r="L130" s="12" t="str">
        <f t="shared" si="14"/>
        <v>High</v>
      </c>
      <c r="M130" s="70" t="str">
        <f t="shared" si="15"/>
        <v>3C</v>
      </c>
    </row>
    <row r="131" spans="1:13" x14ac:dyDescent="0.25">
      <c r="A131" s="76">
        <v>48477</v>
      </c>
      <c r="B131" s="12" t="s">
        <v>360</v>
      </c>
      <c r="C131" s="64" t="str">
        <f>_xlfn.XLOOKUP(A131,Table8[Employee Number],Table8[Joining Date],"")</f>
        <v>17/12/2023</v>
      </c>
      <c r="D131" s="12" t="s">
        <v>587</v>
      </c>
      <c r="E131" s="12" t="s">
        <v>558</v>
      </c>
      <c r="F131" s="12" t="s">
        <v>323</v>
      </c>
      <c r="G131" s="12" t="s">
        <v>319</v>
      </c>
      <c r="H131" s="65">
        <f t="shared" si="16"/>
        <v>3.3499999999999996</v>
      </c>
      <c r="I131" s="65">
        <v>3.4</v>
      </c>
      <c r="J131" s="65">
        <v>3.3</v>
      </c>
      <c r="K131" s="12" t="str">
        <f t="shared" si="13"/>
        <v>Poor</v>
      </c>
      <c r="L131" s="12" t="str">
        <f t="shared" si="14"/>
        <v>Medium</v>
      </c>
      <c r="M131" s="70" t="str">
        <f t="shared" si="15"/>
        <v>2A</v>
      </c>
    </row>
    <row r="132" spans="1:13" x14ac:dyDescent="0.25">
      <c r="A132" s="76">
        <v>10836</v>
      </c>
      <c r="B132" s="12" t="s">
        <v>401</v>
      </c>
      <c r="C132" s="64" t="str">
        <f>_xlfn.XLOOKUP(A132,Table8[Employee Number],Table8[Joining Date],"")</f>
        <v>01/10/2021</v>
      </c>
      <c r="D132" s="12" t="s">
        <v>585</v>
      </c>
      <c r="E132" s="12" t="s">
        <v>556</v>
      </c>
      <c r="F132" s="12" t="s">
        <v>150</v>
      </c>
      <c r="G132" s="12" t="s">
        <v>563</v>
      </c>
      <c r="H132" s="65">
        <f t="shared" si="16"/>
        <v>4.05</v>
      </c>
      <c r="I132" s="65">
        <v>4.0999999999999996</v>
      </c>
      <c r="J132" s="65">
        <v>4</v>
      </c>
      <c r="K132" s="12" t="str">
        <f t="shared" si="13"/>
        <v>Average</v>
      </c>
      <c r="L132" s="12" t="str">
        <f t="shared" si="14"/>
        <v>Medium</v>
      </c>
      <c r="M132" s="70" t="str">
        <f t="shared" si="15"/>
        <v>2B</v>
      </c>
    </row>
    <row r="133" spans="1:13" x14ac:dyDescent="0.25">
      <c r="A133" s="76">
        <v>48443</v>
      </c>
      <c r="B133" s="12" t="s">
        <v>263</v>
      </c>
      <c r="C133" s="64" t="str">
        <f>_xlfn.XLOOKUP(A133,Table8[Employee Number],Table8[Joining Date],"")</f>
        <v>03/01/2024</v>
      </c>
      <c r="D133" s="12" t="s">
        <v>585</v>
      </c>
      <c r="E133" s="12" t="s">
        <v>565</v>
      </c>
      <c r="F133" s="12" t="s">
        <v>265</v>
      </c>
      <c r="G133" s="12" t="s">
        <v>266</v>
      </c>
      <c r="H133" s="65" t="s">
        <v>19</v>
      </c>
      <c r="I133" s="65" t="s">
        <v>19</v>
      </c>
      <c r="J133" s="65" t="s">
        <v>19</v>
      </c>
      <c r="K133" s="12" t="str">
        <f t="shared" si="13"/>
        <v>NA</v>
      </c>
      <c r="L133" s="12" t="str">
        <f t="shared" si="14"/>
        <v>NA</v>
      </c>
      <c r="M133" s="70" t="str">
        <f t="shared" si="15"/>
        <v/>
      </c>
    </row>
    <row r="134" spans="1:13" x14ac:dyDescent="0.25">
      <c r="A134" s="76">
        <v>10822</v>
      </c>
      <c r="B134" s="12" t="s">
        <v>247</v>
      </c>
      <c r="C134" s="64" t="str">
        <f>_xlfn.XLOOKUP(A134,Table8[Employee Number],Table8[Joining Date],"")</f>
        <v>15/11/2020</v>
      </c>
      <c r="D134" s="12" t="s">
        <v>586</v>
      </c>
      <c r="E134" s="12" t="s">
        <v>561</v>
      </c>
      <c r="F134" s="12" t="s">
        <v>249</v>
      </c>
      <c r="G134" s="12" t="s">
        <v>250</v>
      </c>
      <c r="H134" s="65">
        <f t="shared" ref="H134:H147" si="17">AVERAGE(J134,I134)</f>
        <v>4</v>
      </c>
      <c r="I134" s="65">
        <v>4</v>
      </c>
      <c r="J134" s="65">
        <v>4</v>
      </c>
      <c r="K134" s="12" t="str">
        <f t="shared" si="13"/>
        <v>Average</v>
      </c>
      <c r="L134" s="12" t="str">
        <f t="shared" si="14"/>
        <v>Medium</v>
      </c>
      <c r="M134" s="70" t="str">
        <f t="shared" si="15"/>
        <v>2B</v>
      </c>
    </row>
    <row r="135" spans="1:13" x14ac:dyDescent="0.25">
      <c r="A135" s="76">
        <v>4686</v>
      </c>
      <c r="B135" s="12" t="s">
        <v>88</v>
      </c>
      <c r="C135" s="64" t="str">
        <f>_xlfn.XLOOKUP(A135,Table8[Employee Number],Table8[Joining Date],"")</f>
        <v>01/11/2020</v>
      </c>
      <c r="D135" s="12" t="s">
        <v>586</v>
      </c>
      <c r="E135" s="12" t="s">
        <v>559</v>
      </c>
      <c r="F135" s="12" t="s">
        <v>398</v>
      </c>
      <c r="G135" s="12" t="s">
        <v>563</v>
      </c>
      <c r="H135" s="65">
        <f t="shared" si="17"/>
        <v>3.9</v>
      </c>
      <c r="I135" s="65">
        <v>4</v>
      </c>
      <c r="J135" s="65">
        <v>3.8</v>
      </c>
      <c r="K135" s="12" t="str">
        <f t="shared" si="13"/>
        <v>Average</v>
      </c>
      <c r="L135" s="12" t="str">
        <f t="shared" si="14"/>
        <v>Medium</v>
      </c>
      <c r="M135" s="70" t="str">
        <f t="shared" si="15"/>
        <v>2B</v>
      </c>
    </row>
    <row r="136" spans="1:13" x14ac:dyDescent="0.25">
      <c r="A136" s="76">
        <v>49420</v>
      </c>
      <c r="B136" s="12" t="s">
        <v>94</v>
      </c>
      <c r="C136" s="64" t="str">
        <f>_xlfn.XLOOKUP(A136,Table8[Employee Number],Table8[Joining Date],"")</f>
        <v>05/08/2024</v>
      </c>
      <c r="D136" s="12" t="s">
        <v>586</v>
      </c>
      <c r="E136" s="12" t="s">
        <v>559</v>
      </c>
      <c r="F136" s="12" t="s">
        <v>96</v>
      </c>
      <c r="G136" s="12" t="s">
        <v>88</v>
      </c>
      <c r="H136" s="65">
        <f t="shared" si="17"/>
        <v>4.1500000000000004</v>
      </c>
      <c r="I136" s="65">
        <v>4.3</v>
      </c>
      <c r="J136" s="65">
        <v>4</v>
      </c>
      <c r="K136" s="12" t="str">
        <f t="shared" si="13"/>
        <v>Average</v>
      </c>
      <c r="L136" s="12" t="str">
        <f t="shared" si="14"/>
        <v>Medium</v>
      </c>
      <c r="M136" s="70" t="str">
        <f t="shared" si="15"/>
        <v>2B</v>
      </c>
    </row>
    <row r="137" spans="1:13" x14ac:dyDescent="0.25">
      <c r="A137" s="76">
        <v>6616</v>
      </c>
      <c r="B137" s="12" t="s">
        <v>284</v>
      </c>
      <c r="C137" s="64" t="str">
        <f>_xlfn.XLOOKUP(A137,Table8[Employee Number],Table8[Joining Date],"")</f>
        <v>01/06/2022</v>
      </c>
      <c r="D137" s="12" t="s">
        <v>587</v>
      </c>
      <c r="E137" s="12" t="s">
        <v>557</v>
      </c>
      <c r="F137" s="12" t="s">
        <v>285</v>
      </c>
      <c r="G137" s="12" t="s">
        <v>279</v>
      </c>
      <c r="H137" s="65">
        <f t="shared" si="17"/>
        <v>3.85</v>
      </c>
      <c r="I137" s="65">
        <v>4</v>
      </c>
      <c r="J137" s="65">
        <v>3.7</v>
      </c>
      <c r="K137" s="12" t="str">
        <f t="shared" si="13"/>
        <v>Average</v>
      </c>
      <c r="L137" s="12" t="str">
        <f t="shared" si="14"/>
        <v>Medium</v>
      </c>
      <c r="M137" s="70" t="str">
        <f t="shared" si="15"/>
        <v>2B</v>
      </c>
    </row>
    <row r="138" spans="1:13" x14ac:dyDescent="0.25">
      <c r="A138" s="76">
        <v>10892</v>
      </c>
      <c r="B138" s="12" t="s">
        <v>245</v>
      </c>
      <c r="C138" s="64" t="str">
        <f>_xlfn.XLOOKUP(A138,Table8[Employee Number],Table8[Joining Date],"")</f>
        <v>05/12/2022</v>
      </c>
      <c r="D138" s="12" t="s">
        <v>586</v>
      </c>
      <c r="E138" s="12" t="s">
        <v>561</v>
      </c>
      <c r="F138" s="12" t="s">
        <v>224</v>
      </c>
      <c r="G138" s="12" t="s">
        <v>225</v>
      </c>
      <c r="H138" s="65">
        <f t="shared" si="17"/>
        <v>4</v>
      </c>
      <c r="I138" s="65">
        <v>4.3</v>
      </c>
      <c r="J138" s="65">
        <v>3.7</v>
      </c>
      <c r="K138" s="12" t="str">
        <f t="shared" ref="K138:K159" si="18">IF(H138="","",
IF(OR(H138="NR",H138="NA"),"NA",
IF(H138&lt;$I$3,$H$3,
IF(H138&lt;$I$4,$H$4,$H$5)
)))</f>
        <v>Average</v>
      </c>
      <c r="L138" s="12" t="str">
        <f t="shared" ref="L138:L159" si="19">IF(J138="","",
IF(OR(J138="NR",J138="NA"),"NA",
IF(J138&lt;$L$3,$K$3,
IF(J138&lt;$L$4,$K$4,$K$5)
)))</f>
        <v>Medium</v>
      </c>
      <c r="M138" s="70" t="str">
        <f t="shared" ref="M138:M159" si="20">IF(OR(K138="",L138=""),"",
IF(AND(K138=$H$5,L138=$K$5),"3C",
IF(AND(K138=$H$4,L138=$K$5),"3B",
IF(AND(K138=$H$3,L138=$K$5),"3A",
IF(AND(K138=$H$5,L138=$K$4),"2C",
IF(AND(K138=$H$4,L138=$K$4),"2B",
IF(AND(K138=$H$3,L138=$K$4),"2A",
IF(AND(K138=$H$5,L138=$K$3),"1C",
IF(AND(K138=$H$4,L138=$K$3),"1B",
IF(AND(K138=$H$3,L138=$K$3),"1A","")
)))))))))</f>
        <v>2B</v>
      </c>
    </row>
    <row r="139" spans="1:13" x14ac:dyDescent="0.25">
      <c r="A139" s="76">
        <v>10840</v>
      </c>
      <c r="B139" s="12" t="s">
        <v>364</v>
      </c>
      <c r="C139" s="64" t="str">
        <f>_xlfn.XLOOKUP(A139,Table8[Employee Number],Table8[Joining Date],"")</f>
        <v>21/03/2021</v>
      </c>
      <c r="D139" s="12" t="s">
        <v>586</v>
      </c>
      <c r="E139" s="12" t="s">
        <v>558</v>
      </c>
      <c r="F139" s="12" t="s">
        <v>315</v>
      </c>
      <c r="G139" s="12" t="s">
        <v>316</v>
      </c>
      <c r="H139" s="65">
        <f t="shared" si="17"/>
        <v>3.45</v>
      </c>
      <c r="I139" s="65">
        <v>3.4</v>
      </c>
      <c r="J139" s="65">
        <v>3.5</v>
      </c>
      <c r="K139" s="12" t="str">
        <f t="shared" si="18"/>
        <v>Average</v>
      </c>
      <c r="L139" s="12" t="str">
        <f t="shared" si="19"/>
        <v>Medium</v>
      </c>
      <c r="M139" s="70" t="str">
        <f t="shared" si="20"/>
        <v>2B</v>
      </c>
    </row>
    <row r="140" spans="1:13" x14ac:dyDescent="0.25">
      <c r="A140" s="76">
        <v>31217</v>
      </c>
      <c r="B140" s="12" t="s">
        <v>104</v>
      </c>
      <c r="C140" s="64" t="str">
        <f>_xlfn.XLOOKUP(A140,Table8[Employee Number],Table8[Joining Date],"")</f>
        <v>06/01/2021</v>
      </c>
      <c r="D140" s="12" t="s">
        <v>585</v>
      </c>
      <c r="E140" s="12" t="s">
        <v>556</v>
      </c>
      <c r="F140" s="12" t="s">
        <v>400</v>
      </c>
      <c r="G140" s="12" t="s">
        <v>401</v>
      </c>
      <c r="H140" s="65">
        <f t="shared" si="17"/>
        <v>4.75</v>
      </c>
      <c r="I140" s="65">
        <v>4.8</v>
      </c>
      <c r="J140" s="65">
        <v>4.7</v>
      </c>
      <c r="K140" s="12" t="str">
        <f t="shared" si="18"/>
        <v>High</v>
      </c>
      <c r="L140" s="12" t="str">
        <f t="shared" si="19"/>
        <v>High</v>
      </c>
      <c r="M140" s="70" t="str">
        <f t="shared" si="20"/>
        <v>3C</v>
      </c>
    </row>
    <row r="141" spans="1:13" x14ac:dyDescent="0.25">
      <c r="A141" s="76">
        <v>10304</v>
      </c>
      <c r="B141" s="12" t="s">
        <v>366</v>
      </c>
      <c r="C141" s="64" t="str">
        <f>_xlfn.XLOOKUP(A141,Table8[Employee Number],Table8[Joining Date],"")</f>
        <v>08/11/2020</v>
      </c>
      <c r="D141" s="12" t="s">
        <v>586</v>
      </c>
      <c r="E141" s="12" t="s">
        <v>558</v>
      </c>
      <c r="F141" s="12" t="s">
        <v>315</v>
      </c>
      <c r="G141" s="12" t="s">
        <v>316</v>
      </c>
      <c r="H141" s="65">
        <f t="shared" si="17"/>
        <v>4</v>
      </c>
      <c r="I141" s="65">
        <v>4</v>
      </c>
      <c r="J141" s="65">
        <v>4</v>
      </c>
      <c r="K141" s="12" t="str">
        <f t="shared" si="18"/>
        <v>Average</v>
      </c>
      <c r="L141" s="12" t="str">
        <f t="shared" si="19"/>
        <v>Medium</v>
      </c>
      <c r="M141" s="70" t="str">
        <f t="shared" si="20"/>
        <v>2B</v>
      </c>
    </row>
    <row r="142" spans="1:13" x14ac:dyDescent="0.25">
      <c r="A142" s="76">
        <v>10838</v>
      </c>
      <c r="B142" s="12" t="s">
        <v>250</v>
      </c>
      <c r="C142" s="64" t="str">
        <f>_xlfn.XLOOKUP(A142,Table8[Employee Number],Table8[Joining Date],"")</f>
        <v>07/03/2021</v>
      </c>
      <c r="D142" s="12" t="s">
        <v>586</v>
      </c>
      <c r="E142" s="12" t="s">
        <v>561</v>
      </c>
      <c r="F142" s="12" t="s">
        <v>437</v>
      </c>
      <c r="G142" s="12" t="s">
        <v>382</v>
      </c>
      <c r="H142" s="65">
        <f t="shared" si="17"/>
        <v>4.5999999999999996</v>
      </c>
      <c r="I142" s="65">
        <v>4.4000000000000004</v>
      </c>
      <c r="J142" s="65">
        <v>4.8</v>
      </c>
      <c r="K142" s="12" t="str">
        <f t="shared" si="18"/>
        <v>High</v>
      </c>
      <c r="L142" s="12" t="str">
        <f t="shared" si="19"/>
        <v>High</v>
      </c>
      <c r="M142" s="70" t="str">
        <f t="shared" si="20"/>
        <v>3C</v>
      </c>
    </row>
    <row r="143" spans="1:13" x14ac:dyDescent="0.25">
      <c r="A143" s="76">
        <v>48805</v>
      </c>
      <c r="B143" s="12" t="s">
        <v>81</v>
      </c>
      <c r="C143" s="64" t="str">
        <f>_xlfn.XLOOKUP(A143,Table8[Employee Number],Table8[Joining Date],"")</f>
        <v>01/03/2024</v>
      </c>
      <c r="D143" s="12" t="s">
        <v>587</v>
      </c>
      <c r="E143" s="12" t="s">
        <v>559</v>
      </c>
      <c r="F143" s="12" t="s">
        <v>57</v>
      </c>
      <c r="G143" s="12" t="s">
        <v>76</v>
      </c>
      <c r="H143" s="65">
        <f t="shared" si="17"/>
        <v>4.5</v>
      </c>
      <c r="I143" s="65">
        <v>4.3</v>
      </c>
      <c r="J143" s="65">
        <v>4.7</v>
      </c>
      <c r="K143" s="12" t="str">
        <f t="shared" si="18"/>
        <v>High</v>
      </c>
      <c r="L143" s="12" t="str">
        <f t="shared" si="19"/>
        <v>High</v>
      </c>
      <c r="M143" s="70" t="str">
        <f t="shared" si="20"/>
        <v>3C</v>
      </c>
    </row>
    <row r="144" spans="1:13" x14ac:dyDescent="0.25">
      <c r="A144" s="76">
        <v>10511</v>
      </c>
      <c r="B144" s="12" t="s">
        <v>368</v>
      </c>
      <c r="C144" s="64" t="str">
        <f>_xlfn.XLOOKUP(A144,Table8[Employee Number],Table8[Joining Date],"")</f>
        <v>01/01/2021</v>
      </c>
      <c r="D144" s="12" t="s">
        <v>586</v>
      </c>
      <c r="E144" s="12" t="s">
        <v>558</v>
      </c>
      <c r="F144" s="12" t="s">
        <v>369</v>
      </c>
      <c r="G144" s="12" t="s">
        <v>333</v>
      </c>
      <c r="H144" s="65">
        <f t="shared" si="17"/>
        <v>4.75</v>
      </c>
      <c r="I144" s="65">
        <v>4.8</v>
      </c>
      <c r="J144" s="65">
        <v>4.7</v>
      </c>
      <c r="K144" s="12" t="str">
        <f t="shared" si="18"/>
        <v>High</v>
      </c>
      <c r="L144" s="12" t="str">
        <f t="shared" si="19"/>
        <v>High</v>
      </c>
      <c r="M144" s="70" t="str">
        <f t="shared" si="20"/>
        <v>3C</v>
      </c>
    </row>
    <row r="145" spans="1:13" x14ac:dyDescent="0.25">
      <c r="A145" s="76">
        <v>10116</v>
      </c>
      <c r="B145" s="12" t="s">
        <v>29</v>
      </c>
      <c r="C145" s="64" t="str">
        <f>_xlfn.XLOOKUP(A145,Table8[Employee Number],Table8[Joining Date],"")</f>
        <v>14/10/2020</v>
      </c>
      <c r="D145" s="12" t="s">
        <v>586</v>
      </c>
      <c r="E145" s="12" t="s">
        <v>555</v>
      </c>
      <c r="F145" s="12" t="s">
        <v>383</v>
      </c>
      <c r="G145" s="12" t="s">
        <v>386</v>
      </c>
      <c r="H145" s="65">
        <f t="shared" si="17"/>
        <v>3.9</v>
      </c>
      <c r="I145" s="65">
        <v>3.5</v>
      </c>
      <c r="J145" s="65">
        <v>4.3</v>
      </c>
      <c r="K145" s="12" t="str">
        <f t="shared" si="18"/>
        <v>Average</v>
      </c>
      <c r="L145" s="12" t="str">
        <f t="shared" si="19"/>
        <v>Medium</v>
      </c>
      <c r="M145" s="70" t="str">
        <f t="shared" si="20"/>
        <v>2B</v>
      </c>
    </row>
    <row r="146" spans="1:13" x14ac:dyDescent="0.25">
      <c r="A146" s="76">
        <v>6588</v>
      </c>
      <c r="B146" s="12" t="s">
        <v>218</v>
      </c>
      <c r="C146" s="64" t="str">
        <f>_xlfn.XLOOKUP(A146,Table8[Employee Number],Table8[Joining Date],"")</f>
        <v>01/06/2022</v>
      </c>
      <c r="D146" s="12" t="s">
        <v>587</v>
      </c>
      <c r="E146" s="12" t="s">
        <v>561</v>
      </c>
      <c r="F146" s="12" t="s">
        <v>209</v>
      </c>
      <c r="G146" s="12" t="s">
        <v>200</v>
      </c>
      <c r="H146" s="65">
        <f t="shared" si="17"/>
        <v>3</v>
      </c>
      <c r="I146" s="65">
        <v>3</v>
      </c>
      <c r="J146" s="65">
        <v>3</v>
      </c>
      <c r="K146" s="12" t="str">
        <f t="shared" si="18"/>
        <v>Poor</v>
      </c>
      <c r="L146" s="12" t="str">
        <f t="shared" si="19"/>
        <v>Medium</v>
      </c>
      <c r="M146" s="70" t="str">
        <f t="shared" si="20"/>
        <v>2A</v>
      </c>
    </row>
    <row r="147" spans="1:13" x14ac:dyDescent="0.25">
      <c r="A147" s="76">
        <v>10319</v>
      </c>
      <c r="B147" s="12" t="s">
        <v>155</v>
      </c>
      <c r="C147" s="64" t="str">
        <f>_xlfn.XLOOKUP(A147,Table8[Employee Number],Table8[Joining Date],"")</f>
        <v>03/01/2021</v>
      </c>
      <c r="D147" s="12" t="s">
        <v>586</v>
      </c>
      <c r="E147" s="12" t="s">
        <v>556</v>
      </c>
      <c r="F147" s="12" t="s">
        <v>103</v>
      </c>
      <c r="G147" s="12" t="s">
        <v>386</v>
      </c>
      <c r="H147" s="65">
        <f t="shared" si="17"/>
        <v>4.3499999999999996</v>
      </c>
      <c r="I147" s="65">
        <v>4</v>
      </c>
      <c r="J147" s="65">
        <v>4.7</v>
      </c>
      <c r="K147" s="12" t="str">
        <f t="shared" si="18"/>
        <v>Average</v>
      </c>
      <c r="L147" s="12" t="str">
        <f t="shared" si="19"/>
        <v>High</v>
      </c>
      <c r="M147" s="70" t="str">
        <f t="shared" si="20"/>
        <v>3B</v>
      </c>
    </row>
    <row r="148" spans="1:13" x14ac:dyDescent="0.25">
      <c r="A148" s="76">
        <v>10860</v>
      </c>
      <c r="B148" s="12" t="s">
        <v>379</v>
      </c>
      <c r="C148" s="64" t="str">
        <f>_xlfn.XLOOKUP(A148,Table8[Employee Number],Table8[Joining Date],"")</f>
        <v>01/11/2023</v>
      </c>
      <c r="D148" s="12" t="s">
        <v>586</v>
      </c>
      <c r="E148" s="12" t="s">
        <v>569</v>
      </c>
      <c r="F148" s="12" t="s">
        <v>381</v>
      </c>
      <c r="G148" s="12" t="s">
        <v>382</v>
      </c>
      <c r="H148" s="65" t="s">
        <v>19</v>
      </c>
      <c r="I148" s="65" t="s">
        <v>19</v>
      </c>
      <c r="J148" s="65" t="s">
        <v>19</v>
      </c>
      <c r="K148" s="12" t="str">
        <f t="shared" si="18"/>
        <v>NA</v>
      </c>
      <c r="L148" s="12" t="str">
        <f t="shared" si="19"/>
        <v>NA</v>
      </c>
      <c r="M148" s="70" t="str">
        <f t="shared" si="20"/>
        <v/>
      </c>
    </row>
    <row r="149" spans="1:13" x14ac:dyDescent="0.25">
      <c r="A149" s="76">
        <v>31430</v>
      </c>
      <c r="B149" s="12" t="s">
        <v>292</v>
      </c>
      <c r="C149" s="64" t="str">
        <f>_xlfn.XLOOKUP(A149,Table8[Employee Number],Table8[Joining Date],"")</f>
        <v>11/04/2022</v>
      </c>
      <c r="D149" s="12" t="s">
        <v>585</v>
      </c>
      <c r="E149" s="12" t="s">
        <v>564</v>
      </c>
      <c r="F149" s="12" t="s">
        <v>457</v>
      </c>
      <c r="G149" s="12" t="s">
        <v>458</v>
      </c>
      <c r="H149" s="65">
        <f t="shared" ref="H149:H158" si="21">AVERAGE(J149,I149)</f>
        <v>5</v>
      </c>
      <c r="I149" s="65">
        <v>5</v>
      </c>
      <c r="J149" s="65">
        <v>5</v>
      </c>
      <c r="K149" s="12" t="str">
        <f t="shared" si="18"/>
        <v>High</v>
      </c>
      <c r="L149" s="12" t="str">
        <f t="shared" si="19"/>
        <v>High</v>
      </c>
      <c r="M149" s="70" t="str">
        <f t="shared" si="20"/>
        <v>3C</v>
      </c>
    </row>
    <row r="150" spans="1:13" x14ac:dyDescent="0.25">
      <c r="A150" s="76">
        <v>47406</v>
      </c>
      <c r="B150" s="12" t="s">
        <v>372</v>
      </c>
      <c r="C150" s="64" t="str">
        <f>_xlfn.XLOOKUP(A150,Table8[Employee Number],Table8[Joining Date],"")</f>
        <v>01/03/2023</v>
      </c>
      <c r="D150" s="12" t="s">
        <v>586</v>
      </c>
      <c r="E150" s="12" t="s">
        <v>558</v>
      </c>
      <c r="F150" s="12" t="s">
        <v>327</v>
      </c>
      <c r="G150" s="12" t="s">
        <v>316</v>
      </c>
      <c r="H150" s="65">
        <f t="shared" si="21"/>
        <v>4</v>
      </c>
      <c r="I150" s="65">
        <v>4</v>
      </c>
      <c r="J150" s="65">
        <v>4</v>
      </c>
      <c r="K150" s="12" t="str">
        <f t="shared" si="18"/>
        <v>Average</v>
      </c>
      <c r="L150" s="12" t="str">
        <f t="shared" si="19"/>
        <v>Medium</v>
      </c>
      <c r="M150" s="70" t="str">
        <f t="shared" si="20"/>
        <v>2B</v>
      </c>
    </row>
    <row r="151" spans="1:13" x14ac:dyDescent="0.25">
      <c r="A151" s="76">
        <v>47994</v>
      </c>
      <c r="B151" s="12" t="s">
        <v>142</v>
      </c>
      <c r="C151" s="64" t="str">
        <f>_xlfn.XLOOKUP(A151,Table8[Employee Number],Table8[Joining Date],"")</f>
        <v>20/08/2023</v>
      </c>
      <c r="D151" s="12" t="s">
        <v>585</v>
      </c>
      <c r="E151" s="12" t="s">
        <v>556</v>
      </c>
      <c r="F151" s="12" t="s">
        <v>103</v>
      </c>
      <c r="G151" s="12" t="s">
        <v>575</v>
      </c>
      <c r="H151" s="65">
        <f t="shared" si="21"/>
        <v>5</v>
      </c>
      <c r="I151" s="65">
        <v>5</v>
      </c>
      <c r="J151" s="65">
        <v>5</v>
      </c>
      <c r="K151" s="12" t="str">
        <f t="shared" si="18"/>
        <v>High</v>
      </c>
      <c r="L151" s="12" t="str">
        <f t="shared" si="19"/>
        <v>High</v>
      </c>
      <c r="M151" s="70" t="str">
        <f t="shared" si="20"/>
        <v>3C</v>
      </c>
    </row>
    <row r="152" spans="1:13" x14ac:dyDescent="0.25">
      <c r="A152" s="76">
        <v>6548</v>
      </c>
      <c r="B152" s="12" t="s">
        <v>319</v>
      </c>
      <c r="C152" s="64" t="str">
        <f>_xlfn.XLOOKUP(A152,Table8[Employee Number],Table8[Joining Date],"")</f>
        <v>01/06/2022</v>
      </c>
      <c r="D152" s="12" t="s">
        <v>587</v>
      </c>
      <c r="E152" s="12" t="s">
        <v>558</v>
      </c>
      <c r="F152" s="12" t="s">
        <v>467</v>
      </c>
      <c r="G152" s="12" t="s">
        <v>316</v>
      </c>
      <c r="H152" s="65">
        <f t="shared" si="21"/>
        <v>3.7</v>
      </c>
      <c r="I152" s="65">
        <v>3.7</v>
      </c>
      <c r="J152" s="65">
        <v>3.7</v>
      </c>
      <c r="K152" s="12" t="str">
        <f t="shared" si="18"/>
        <v>Average</v>
      </c>
      <c r="L152" s="12" t="str">
        <f t="shared" si="19"/>
        <v>Medium</v>
      </c>
      <c r="M152" s="70" t="str">
        <f t="shared" si="20"/>
        <v>2B</v>
      </c>
    </row>
    <row r="153" spans="1:13" x14ac:dyDescent="0.25">
      <c r="A153" s="76">
        <v>6587</v>
      </c>
      <c r="B153" s="12" t="s">
        <v>374</v>
      </c>
      <c r="C153" s="64" t="str">
        <f>_xlfn.XLOOKUP(A153,Table8[Employee Number],Table8[Joining Date],"")</f>
        <v>26/02/2024</v>
      </c>
      <c r="D153" s="12" t="s">
        <v>586</v>
      </c>
      <c r="E153" s="12" t="s">
        <v>558</v>
      </c>
      <c r="F153" s="12" t="s">
        <v>332</v>
      </c>
      <c r="G153" s="12" t="s">
        <v>333</v>
      </c>
      <c r="H153" s="65">
        <f t="shared" si="21"/>
        <v>3.15</v>
      </c>
      <c r="I153" s="65">
        <v>3.5</v>
      </c>
      <c r="J153" s="65">
        <v>2.8</v>
      </c>
      <c r="K153" s="12" t="str">
        <f t="shared" si="18"/>
        <v>Poor</v>
      </c>
      <c r="L153" s="12" t="str">
        <f t="shared" si="19"/>
        <v>Low</v>
      </c>
      <c r="M153" s="70" t="str">
        <f t="shared" si="20"/>
        <v>1A</v>
      </c>
    </row>
    <row r="154" spans="1:13" x14ac:dyDescent="0.25">
      <c r="A154" s="76">
        <v>10830</v>
      </c>
      <c r="B154" s="12" t="s">
        <v>302</v>
      </c>
      <c r="C154" s="64" t="str">
        <f>_xlfn.XLOOKUP(A154,Table8[Employee Number],Table8[Joining Date],"")</f>
        <v>10/01/2021</v>
      </c>
      <c r="D154" s="12" t="s">
        <v>586</v>
      </c>
      <c r="E154" s="12" t="s">
        <v>564</v>
      </c>
      <c r="F154" s="12" t="s">
        <v>291</v>
      </c>
      <c r="G154" s="12" t="s">
        <v>458</v>
      </c>
      <c r="H154" s="65">
        <f t="shared" si="21"/>
        <v>5</v>
      </c>
      <c r="I154" s="65">
        <v>5</v>
      </c>
      <c r="J154" s="65">
        <v>5</v>
      </c>
      <c r="K154" s="12" t="str">
        <f t="shared" si="18"/>
        <v>High</v>
      </c>
      <c r="L154" s="12" t="str">
        <f t="shared" si="19"/>
        <v>High</v>
      </c>
      <c r="M154" s="70" t="str">
        <f t="shared" si="20"/>
        <v>3C</v>
      </c>
    </row>
    <row r="155" spans="1:13" x14ac:dyDescent="0.25">
      <c r="A155" s="76">
        <v>31249</v>
      </c>
      <c r="B155" s="12" t="s">
        <v>286</v>
      </c>
      <c r="C155" s="64" t="str">
        <f>_xlfn.XLOOKUP(A155,Table8[Employee Number],Table8[Joining Date],"")</f>
        <v>01/05/2021</v>
      </c>
      <c r="D155" s="12" t="s">
        <v>585</v>
      </c>
      <c r="E155" s="12" t="s">
        <v>557</v>
      </c>
      <c r="F155" s="12" t="s">
        <v>288</v>
      </c>
      <c r="G155" s="12" t="s">
        <v>283</v>
      </c>
      <c r="H155" s="65">
        <f t="shared" si="21"/>
        <v>3.6</v>
      </c>
      <c r="I155" s="65">
        <v>3.2</v>
      </c>
      <c r="J155" s="65">
        <v>4</v>
      </c>
      <c r="K155" s="12" t="str">
        <f t="shared" si="18"/>
        <v>Average</v>
      </c>
      <c r="L155" s="12" t="str">
        <f t="shared" si="19"/>
        <v>Medium</v>
      </c>
      <c r="M155" s="70" t="str">
        <f t="shared" si="20"/>
        <v>2B</v>
      </c>
    </row>
    <row r="156" spans="1:13" x14ac:dyDescent="0.25">
      <c r="A156" s="76">
        <v>47527</v>
      </c>
      <c r="B156" s="12" t="s">
        <v>376</v>
      </c>
      <c r="C156" s="64" t="str">
        <f>_xlfn.XLOOKUP(A156,Table8[Employee Number],Table8[Joining Date],"")</f>
        <v>03/04/2023</v>
      </c>
      <c r="D156" s="12" t="s">
        <v>586</v>
      </c>
      <c r="E156" s="12" t="s">
        <v>558</v>
      </c>
      <c r="F156" s="12" t="s">
        <v>332</v>
      </c>
      <c r="G156" s="12" t="s">
        <v>333</v>
      </c>
      <c r="H156" s="65">
        <f t="shared" si="21"/>
        <v>4</v>
      </c>
      <c r="I156" s="65">
        <v>4</v>
      </c>
      <c r="J156" s="65">
        <v>4</v>
      </c>
      <c r="K156" s="12" t="str">
        <f t="shared" si="18"/>
        <v>Average</v>
      </c>
      <c r="L156" s="12" t="str">
        <f t="shared" si="19"/>
        <v>Medium</v>
      </c>
      <c r="M156" s="70" t="str">
        <f t="shared" si="20"/>
        <v>2B</v>
      </c>
    </row>
    <row r="157" spans="1:13" x14ac:dyDescent="0.25">
      <c r="A157" s="76">
        <v>47725</v>
      </c>
      <c r="B157" s="12" t="s">
        <v>185</v>
      </c>
      <c r="C157" s="64" t="str">
        <f>_xlfn.XLOOKUP(A157,Table8[Employee Number],Table8[Joining Date],"")</f>
        <v>04/09/2023</v>
      </c>
      <c r="D157" s="12" t="s">
        <v>586</v>
      </c>
      <c r="E157" s="12" t="s">
        <v>570</v>
      </c>
      <c r="F157" s="12" t="s">
        <v>186</v>
      </c>
      <c r="G157" s="12" t="s">
        <v>571</v>
      </c>
      <c r="H157" s="65">
        <f t="shared" si="21"/>
        <v>4</v>
      </c>
      <c r="I157" s="65">
        <v>4</v>
      </c>
      <c r="J157" s="65">
        <v>4</v>
      </c>
      <c r="K157" s="12" t="str">
        <f t="shared" si="18"/>
        <v>Average</v>
      </c>
      <c r="L157" s="12" t="str">
        <f t="shared" si="19"/>
        <v>Medium</v>
      </c>
      <c r="M157" s="70" t="str">
        <f t="shared" si="20"/>
        <v>2B</v>
      </c>
    </row>
    <row r="158" spans="1:13" x14ac:dyDescent="0.25">
      <c r="A158" s="76">
        <v>6553</v>
      </c>
      <c r="B158" s="12" t="s">
        <v>69</v>
      </c>
      <c r="C158" s="64" t="str">
        <f>_xlfn.XLOOKUP(A158,Table8[Employee Number],Table8[Joining Date],"")</f>
        <v>01/06/2022</v>
      </c>
      <c r="D158" s="12" t="s">
        <v>587</v>
      </c>
      <c r="E158" s="12" t="s">
        <v>559</v>
      </c>
      <c r="F158" s="12" t="s">
        <v>396</v>
      </c>
      <c r="G158" s="12" t="s">
        <v>55</v>
      </c>
      <c r="H158" s="65">
        <f t="shared" si="21"/>
        <v>4.3</v>
      </c>
      <c r="I158" s="65">
        <v>4.3</v>
      </c>
      <c r="J158" s="65">
        <v>4.3</v>
      </c>
      <c r="K158" s="12" t="str">
        <f t="shared" si="18"/>
        <v>Average</v>
      </c>
      <c r="L158" s="12" t="str">
        <f t="shared" si="19"/>
        <v>Medium</v>
      </c>
      <c r="M158" s="70" t="str">
        <f t="shared" si="20"/>
        <v>2B</v>
      </c>
    </row>
    <row r="159" spans="1:13" x14ac:dyDescent="0.25">
      <c r="A159" s="84">
        <v>31216</v>
      </c>
      <c r="B159" s="18" t="s">
        <v>121</v>
      </c>
      <c r="C159" s="64" t="str">
        <f>_xlfn.XLOOKUP(A159,Table8[Employee Number],Table8[Joining Date],"")</f>
        <v>07/01/2021</v>
      </c>
      <c r="D159" s="18" t="s">
        <v>585</v>
      </c>
      <c r="E159" s="18" t="s">
        <v>556</v>
      </c>
      <c r="F159" s="18" t="s">
        <v>150</v>
      </c>
      <c r="G159" s="18" t="s">
        <v>563</v>
      </c>
      <c r="H159" s="62" t="s">
        <v>19</v>
      </c>
      <c r="I159" s="62" t="s">
        <v>19</v>
      </c>
      <c r="J159" s="62" t="s">
        <v>19</v>
      </c>
      <c r="K159" s="18" t="str">
        <f t="shared" si="18"/>
        <v>NA</v>
      </c>
      <c r="L159" s="18" t="str">
        <f t="shared" si="19"/>
        <v>NA</v>
      </c>
      <c r="M159" s="85" t="str">
        <f t="shared" si="20"/>
        <v/>
      </c>
    </row>
  </sheetData>
  <mergeCells count="4">
    <mergeCell ref="C2:C4"/>
    <mergeCell ref="E6:G6"/>
    <mergeCell ref="H2:I2"/>
    <mergeCell ref="K2:L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D82C-C729-481D-A178-6FE2973A2190}">
  <dimension ref="B4:S39"/>
  <sheetViews>
    <sheetView showGridLines="0" zoomScale="90" zoomScaleNormal="90" workbookViewId="0">
      <selection activeCell="G49" sqref="G49"/>
    </sheetView>
  </sheetViews>
  <sheetFormatPr defaultRowHeight="15" x14ac:dyDescent="0.25"/>
  <cols>
    <col min="2" max="2" width="5.42578125" bestFit="1" customWidth="1"/>
    <col min="3" max="3" width="22.7109375" customWidth="1"/>
    <col min="4" max="4" width="4.85546875" bestFit="1" customWidth="1"/>
    <col min="5" max="5" width="22.7109375" customWidth="1"/>
    <col min="6" max="6" width="4.7109375" bestFit="1" customWidth="1"/>
    <col min="7" max="7" width="22.7109375" customWidth="1"/>
    <col min="8" max="8" width="1.7109375" customWidth="1"/>
    <col min="9" max="9" width="22.7109375" customWidth="1"/>
    <col min="10" max="10" width="1.7109375" customWidth="1"/>
    <col min="11" max="11" width="22.7109375" customWidth="1"/>
    <col min="12" max="12" width="1.7109375" customWidth="1"/>
    <col min="13" max="13" width="82" customWidth="1"/>
    <col min="14" max="14" width="3.7109375" customWidth="1"/>
    <col min="16" max="16" width="5.42578125" bestFit="1" customWidth="1"/>
    <col min="17" max="17" width="19.140625" bestFit="1" customWidth="1"/>
    <col min="18" max="18" width="39.5703125" bestFit="1" customWidth="1"/>
    <col min="19" max="20" width="253.85546875" bestFit="1" customWidth="1"/>
  </cols>
  <sheetData>
    <row r="4" spans="2:14" ht="15" customHeight="1" x14ac:dyDescent="0.25">
      <c r="D4" s="69"/>
      <c r="E4" s="68"/>
      <c r="F4" s="69"/>
    </row>
    <row r="5" spans="2:14" ht="15" customHeight="1" x14ac:dyDescent="0.25">
      <c r="D5" s="69"/>
      <c r="E5" s="68"/>
      <c r="F5" s="68"/>
    </row>
    <row r="6" spans="2:14" x14ac:dyDescent="0.25">
      <c r="B6" s="106" t="s">
        <v>588</v>
      </c>
      <c r="C6" s="107"/>
      <c r="D6" s="107"/>
      <c r="E6" s="107"/>
      <c r="F6" s="107"/>
      <c r="G6" s="107"/>
      <c r="H6" s="107"/>
      <c r="I6" s="107"/>
      <c r="J6" s="107"/>
      <c r="K6" s="107"/>
      <c r="L6" s="107"/>
      <c r="M6" s="107"/>
      <c r="N6" s="107"/>
    </row>
    <row r="7" spans="2:14" x14ac:dyDescent="0.25">
      <c r="B7" s="108"/>
      <c r="C7" s="108"/>
      <c r="D7" s="108"/>
      <c r="E7" s="108"/>
      <c r="F7" s="108"/>
      <c r="G7" s="108"/>
      <c r="H7" s="108"/>
      <c r="I7" s="108"/>
      <c r="J7" s="108"/>
      <c r="K7" s="108"/>
      <c r="L7" s="108"/>
      <c r="M7" s="108"/>
      <c r="N7" s="108"/>
    </row>
    <row r="8" spans="2:14" ht="17.25" x14ac:dyDescent="0.25">
      <c r="B8" s="109"/>
      <c r="C8" s="109"/>
      <c r="D8" s="109"/>
      <c r="E8" s="109"/>
      <c r="F8" s="109"/>
      <c r="G8" s="109"/>
      <c r="H8" s="109"/>
      <c r="I8" s="109"/>
      <c r="J8" s="109"/>
      <c r="K8" s="109"/>
      <c r="L8" s="109"/>
      <c r="M8" s="109"/>
      <c r="N8" s="109"/>
    </row>
    <row r="9" spans="2:14" ht="21" x14ac:dyDescent="0.25">
      <c r="B9" s="110"/>
      <c r="C9" s="110"/>
      <c r="D9" s="110"/>
      <c r="E9" s="110"/>
      <c r="F9" s="110"/>
      <c r="G9" s="110"/>
      <c r="H9" s="110"/>
      <c r="I9" s="110"/>
      <c r="J9" s="110"/>
      <c r="K9" s="110"/>
      <c r="L9" s="110"/>
      <c r="M9" s="110"/>
      <c r="N9" s="110"/>
    </row>
    <row r="10" spans="2:14" x14ac:dyDescent="0.25">
      <c r="B10" s="107"/>
      <c r="C10" s="107"/>
      <c r="D10" s="107"/>
      <c r="E10" s="107"/>
      <c r="F10" s="107"/>
      <c r="G10" s="107"/>
      <c r="H10" s="107"/>
      <c r="I10" s="107"/>
      <c r="J10" s="107"/>
      <c r="K10" s="107"/>
      <c r="L10" s="107"/>
      <c r="M10" s="107"/>
      <c r="N10" s="107"/>
    </row>
    <row r="11" spans="2:14" x14ac:dyDescent="0.25">
      <c r="B11" s="108"/>
      <c r="C11" s="108"/>
      <c r="D11" s="108"/>
      <c r="E11" s="108"/>
      <c r="F11" s="108"/>
      <c r="G11" s="108"/>
      <c r="H11" s="108"/>
      <c r="I11" s="108"/>
      <c r="J11" s="108"/>
      <c r="K11" s="108"/>
      <c r="L11" s="108"/>
      <c r="M11" s="108"/>
      <c r="N11" s="108"/>
    </row>
    <row r="12" spans="2:14" x14ac:dyDescent="0.25">
      <c r="B12" s="2"/>
      <c r="C12" s="3"/>
      <c r="D12" s="3"/>
      <c r="E12" s="3"/>
      <c r="F12" s="3"/>
      <c r="G12" s="3"/>
      <c r="H12" s="3"/>
      <c r="I12" s="3"/>
      <c r="J12" s="3"/>
      <c r="K12" s="3"/>
      <c r="L12" s="3"/>
      <c r="M12" s="3"/>
      <c r="N12" s="4"/>
    </row>
    <row r="13" spans="2:14" x14ac:dyDescent="0.25">
      <c r="B13" s="5"/>
      <c r="C13" s="6"/>
      <c r="D13" s="6"/>
      <c r="E13" s="6"/>
      <c r="F13" s="6"/>
      <c r="G13" s="6"/>
      <c r="H13" s="6"/>
      <c r="I13" s="6"/>
      <c r="J13" s="6"/>
      <c r="K13" s="6"/>
      <c r="L13" s="6"/>
      <c r="M13" s="6"/>
      <c r="N13" s="7"/>
    </row>
    <row r="14" spans="2:14" x14ac:dyDescent="0.25">
      <c r="B14" s="5"/>
      <c r="C14" s="6"/>
      <c r="D14" s="6"/>
      <c r="E14" s="6"/>
      <c r="F14" s="6"/>
      <c r="G14" s="6"/>
      <c r="H14" s="6"/>
      <c r="I14" s="6"/>
      <c r="J14" s="6"/>
      <c r="K14" s="6"/>
      <c r="L14" s="6"/>
      <c r="M14" s="6"/>
      <c r="N14" s="7"/>
    </row>
    <row r="15" spans="2:14" x14ac:dyDescent="0.25">
      <c r="B15" s="5"/>
      <c r="C15" s="6"/>
      <c r="D15" s="6"/>
      <c r="E15" s="6"/>
      <c r="F15" s="6"/>
      <c r="G15" s="6"/>
      <c r="H15" s="6"/>
      <c r="I15" s="6"/>
      <c r="J15" s="6"/>
      <c r="K15" s="6"/>
      <c r="L15" s="6"/>
      <c r="M15" s="75" t="s">
        <v>3</v>
      </c>
      <c r="N15" s="7"/>
    </row>
    <row r="16" spans="2:14" x14ac:dyDescent="0.25">
      <c r="B16" s="5"/>
      <c r="C16" s="6"/>
      <c r="D16" s="6"/>
      <c r="E16" s="6"/>
      <c r="F16" s="6"/>
      <c r="G16" s="6"/>
      <c r="H16" s="6"/>
      <c r="I16" s="6"/>
      <c r="J16" s="6"/>
      <c r="K16" s="6"/>
      <c r="L16" s="6"/>
      <c r="M16" s="75" t="s">
        <v>4</v>
      </c>
      <c r="N16" s="7"/>
    </row>
    <row r="17" spans="2:19" x14ac:dyDescent="0.25">
      <c r="B17" s="5"/>
      <c r="C17" s="6"/>
      <c r="D17" s="6"/>
      <c r="E17" s="6"/>
      <c r="F17" s="6"/>
      <c r="G17" s="6"/>
      <c r="H17" s="6"/>
      <c r="I17" s="6"/>
      <c r="J17" s="6"/>
      <c r="K17" s="6"/>
      <c r="L17" s="6"/>
      <c r="M17" s="6"/>
      <c r="N17" s="7"/>
    </row>
    <row r="18" spans="2:19" x14ac:dyDescent="0.25">
      <c r="B18" s="5"/>
      <c r="C18" s="6"/>
      <c r="D18" s="6"/>
      <c r="E18" s="6"/>
      <c r="F18" s="6"/>
      <c r="G18" s="6"/>
      <c r="H18" s="6"/>
      <c r="I18" s="6"/>
      <c r="J18" s="6"/>
      <c r="K18" s="6"/>
      <c r="L18" s="6"/>
      <c r="M18" s="6"/>
      <c r="N18" s="7"/>
    </row>
    <row r="19" spans="2:19" x14ac:dyDescent="0.25">
      <c r="B19" s="5"/>
      <c r="C19" s="6"/>
      <c r="D19" s="6"/>
      <c r="E19" s="6"/>
      <c r="F19" s="6"/>
      <c r="G19" s="6"/>
      <c r="H19" s="6"/>
      <c r="I19" s="6"/>
      <c r="J19" s="6"/>
      <c r="K19" s="6"/>
      <c r="L19" s="6"/>
      <c r="M19" s="6"/>
      <c r="N19" s="7"/>
      <c r="P19" s="8" t="s">
        <v>468</v>
      </c>
      <c r="Q19" s="9" t="s">
        <v>469</v>
      </c>
      <c r="R19" s="9" t="s">
        <v>470</v>
      </c>
      <c r="S19" s="10" t="s">
        <v>471</v>
      </c>
    </row>
    <row r="20" spans="2:19" x14ac:dyDescent="0.25">
      <c r="B20" s="5"/>
      <c r="C20" s="6"/>
      <c r="D20" s="6"/>
      <c r="E20" s="6"/>
      <c r="F20" s="6"/>
      <c r="G20" s="6"/>
      <c r="H20" s="6"/>
      <c r="I20" s="6"/>
      <c r="J20" s="6"/>
      <c r="K20" s="6"/>
      <c r="L20" s="6"/>
      <c r="M20" s="6"/>
      <c r="N20" s="7"/>
      <c r="P20" s="15" t="s">
        <v>496</v>
      </c>
      <c r="Q20" s="15" t="s">
        <v>497</v>
      </c>
      <c r="R20" s="12" t="s">
        <v>498</v>
      </c>
      <c r="S20" s="13" t="s">
        <v>499</v>
      </c>
    </row>
    <row r="21" spans="2:19" x14ac:dyDescent="0.25">
      <c r="B21" s="5"/>
      <c r="C21" s="6"/>
      <c r="D21" s="6"/>
      <c r="E21" s="6"/>
      <c r="F21" s="6"/>
      <c r="G21" s="6"/>
      <c r="H21" s="6"/>
      <c r="I21" s="6"/>
      <c r="J21" s="6"/>
      <c r="K21" s="6"/>
      <c r="L21" s="6"/>
      <c r="M21" s="6"/>
      <c r="N21" s="7"/>
      <c r="P21" s="16" t="s">
        <v>500</v>
      </c>
      <c r="Q21" s="16" t="s">
        <v>501</v>
      </c>
      <c r="R21" s="12" t="s">
        <v>502</v>
      </c>
      <c r="S21" s="13" t="s">
        <v>503</v>
      </c>
    </row>
    <row r="22" spans="2:19" x14ac:dyDescent="0.25">
      <c r="B22" s="5"/>
      <c r="C22" s="6"/>
      <c r="D22" s="6"/>
      <c r="E22" s="6"/>
      <c r="F22" s="6"/>
      <c r="G22" s="6"/>
      <c r="H22" s="6"/>
      <c r="I22" s="6"/>
      <c r="J22" s="6"/>
      <c r="K22" s="6"/>
      <c r="L22" s="6"/>
      <c r="M22" s="6"/>
      <c r="N22" s="7"/>
      <c r="P22" s="17" t="s">
        <v>504</v>
      </c>
      <c r="Q22" s="17" t="s">
        <v>505</v>
      </c>
      <c r="R22" s="18" t="s">
        <v>506</v>
      </c>
      <c r="S22" s="19" t="s">
        <v>507</v>
      </c>
    </row>
    <row r="23" spans="2:19" x14ac:dyDescent="0.25">
      <c r="B23" s="5"/>
      <c r="C23" s="6"/>
      <c r="D23" s="6"/>
      <c r="E23" s="6"/>
      <c r="F23" s="6"/>
      <c r="G23" s="6"/>
      <c r="H23" s="6"/>
      <c r="I23" s="6"/>
      <c r="J23" s="6"/>
      <c r="K23" s="6"/>
      <c r="L23" s="6"/>
      <c r="M23" s="6"/>
      <c r="N23" s="7"/>
      <c r="P23" s="14" t="s">
        <v>484</v>
      </c>
      <c r="Q23" s="14" t="s">
        <v>485</v>
      </c>
      <c r="R23" s="12" t="s">
        <v>486</v>
      </c>
      <c r="S23" s="13" t="s">
        <v>487</v>
      </c>
    </row>
    <row r="24" spans="2:19" x14ac:dyDescent="0.25">
      <c r="B24" s="5"/>
      <c r="C24" s="6"/>
      <c r="D24" s="6"/>
      <c r="E24" s="6"/>
      <c r="F24" s="6"/>
      <c r="G24" s="6"/>
      <c r="H24" s="6"/>
      <c r="I24" s="6"/>
      <c r="J24" s="6"/>
      <c r="K24" s="6"/>
      <c r="L24" s="6"/>
      <c r="M24" s="6"/>
      <c r="N24" s="7"/>
      <c r="P24" s="15" t="s">
        <v>488</v>
      </c>
      <c r="Q24" s="15" t="s">
        <v>489</v>
      </c>
      <c r="R24" s="12" t="s">
        <v>490</v>
      </c>
      <c r="S24" s="13" t="s">
        <v>491</v>
      </c>
    </row>
    <row r="25" spans="2:19" x14ac:dyDescent="0.25">
      <c r="B25" s="5"/>
      <c r="C25" s="6"/>
      <c r="D25" s="6"/>
      <c r="E25" s="6"/>
      <c r="F25" s="6"/>
      <c r="G25" s="6"/>
      <c r="H25" s="6"/>
      <c r="I25" s="6"/>
      <c r="J25" s="6"/>
      <c r="K25" s="6"/>
      <c r="L25" s="6"/>
      <c r="M25" s="6"/>
      <c r="N25" s="7"/>
      <c r="P25" s="16" t="s">
        <v>492</v>
      </c>
      <c r="Q25" s="16" t="s">
        <v>493</v>
      </c>
      <c r="R25" s="12" t="s">
        <v>494</v>
      </c>
      <c r="S25" s="13" t="s">
        <v>495</v>
      </c>
    </row>
    <row r="26" spans="2:19" x14ac:dyDescent="0.25">
      <c r="B26" s="5"/>
      <c r="C26" s="6"/>
      <c r="D26" s="6"/>
      <c r="E26" s="6"/>
      <c r="F26" s="6"/>
      <c r="G26" s="6"/>
      <c r="H26" s="6"/>
      <c r="I26" s="6"/>
      <c r="J26" s="6"/>
      <c r="K26" s="6"/>
      <c r="L26" s="6"/>
      <c r="M26" s="6"/>
      <c r="N26" s="7"/>
      <c r="P26" s="11" t="s">
        <v>472</v>
      </c>
      <c r="Q26" s="47" t="s">
        <v>473</v>
      </c>
      <c r="R26" s="12" t="s">
        <v>474</v>
      </c>
      <c r="S26" s="13" t="s">
        <v>475</v>
      </c>
    </row>
    <row r="27" spans="2:19" x14ac:dyDescent="0.25">
      <c r="B27" s="5"/>
      <c r="C27" s="6"/>
      <c r="D27" s="6"/>
      <c r="E27" s="6"/>
      <c r="F27" s="6"/>
      <c r="G27" s="6"/>
      <c r="H27" s="6"/>
      <c r="I27" s="6"/>
      <c r="J27" s="6"/>
      <c r="K27" s="6"/>
      <c r="L27" s="6"/>
      <c r="M27" s="6"/>
      <c r="N27" s="7"/>
      <c r="P27" s="14" t="s">
        <v>476</v>
      </c>
      <c r="Q27" s="48" t="s">
        <v>477</v>
      </c>
      <c r="R27" s="12" t="s">
        <v>478</v>
      </c>
      <c r="S27" s="13" t="s">
        <v>479</v>
      </c>
    </row>
    <row r="28" spans="2:19" x14ac:dyDescent="0.25">
      <c r="B28" s="5"/>
      <c r="C28" s="6"/>
      <c r="D28" s="6"/>
      <c r="E28" s="6"/>
      <c r="F28" s="6"/>
      <c r="G28" s="6"/>
      <c r="H28" s="6"/>
      <c r="I28" s="6"/>
      <c r="J28" s="6"/>
      <c r="K28" s="6"/>
      <c r="L28" s="6"/>
      <c r="M28" s="6"/>
      <c r="N28" s="7"/>
      <c r="P28" s="71" t="s">
        <v>480</v>
      </c>
      <c r="Q28" s="72" t="s">
        <v>481</v>
      </c>
      <c r="R28" s="18" t="s">
        <v>482</v>
      </c>
      <c r="S28" s="19" t="s">
        <v>483</v>
      </c>
    </row>
    <row r="29" spans="2:19" x14ac:dyDescent="0.25">
      <c r="B29" s="5"/>
      <c r="C29" s="6"/>
      <c r="D29" s="6"/>
      <c r="E29" s="6"/>
      <c r="F29" s="6"/>
      <c r="G29" s="6"/>
      <c r="H29" s="6"/>
      <c r="I29" s="6"/>
      <c r="J29" s="6"/>
      <c r="K29" s="6"/>
      <c r="L29" s="6"/>
      <c r="M29" s="6"/>
      <c r="N29" s="7"/>
    </row>
    <row r="30" spans="2:19" x14ac:dyDescent="0.25">
      <c r="B30" s="5"/>
      <c r="C30" s="6"/>
      <c r="D30" s="6"/>
      <c r="E30" s="6"/>
      <c r="F30" s="6"/>
      <c r="G30" s="6"/>
      <c r="H30" s="6"/>
      <c r="I30" s="6"/>
      <c r="J30" s="6"/>
      <c r="K30" s="6"/>
      <c r="L30" s="6"/>
      <c r="M30" s="6"/>
      <c r="N30" s="7"/>
    </row>
    <row r="31" spans="2:19" x14ac:dyDescent="0.25">
      <c r="B31" s="5"/>
      <c r="C31" s="6"/>
      <c r="D31" s="6"/>
      <c r="E31" s="6"/>
      <c r="F31" s="6"/>
      <c r="G31" s="6"/>
      <c r="H31" s="6"/>
      <c r="I31" s="6"/>
      <c r="J31" s="6"/>
      <c r="K31" s="6"/>
      <c r="L31" s="6"/>
      <c r="M31" s="6"/>
      <c r="N31" s="7"/>
    </row>
    <row r="32" spans="2:19" x14ac:dyDescent="0.25">
      <c r="B32" s="5"/>
      <c r="C32" s="6"/>
      <c r="D32" s="6"/>
      <c r="E32" s="6"/>
      <c r="F32" s="6"/>
      <c r="G32" s="6"/>
      <c r="H32" s="6"/>
      <c r="I32" s="6"/>
      <c r="J32" s="6"/>
      <c r="K32" s="6"/>
      <c r="L32" s="6"/>
      <c r="M32" s="6"/>
      <c r="N32" s="7"/>
    </row>
    <row r="33" spans="2:14" x14ac:dyDescent="0.25">
      <c r="B33" s="5"/>
      <c r="C33" s="6"/>
      <c r="D33" s="6"/>
      <c r="E33" s="6"/>
      <c r="F33" s="20"/>
      <c r="G33" s="6"/>
      <c r="H33" s="6"/>
      <c r="I33" s="6"/>
      <c r="J33" s="6"/>
      <c r="K33" s="6"/>
      <c r="L33" s="6"/>
      <c r="M33" s="6"/>
      <c r="N33" s="7"/>
    </row>
    <row r="34" spans="2:14" x14ac:dyDescent="0.25">
      <c r="B34" s="5"/>
      <c r="C34" s="6"/>
      <c r="D34" s="6"/>
      <c r="E34" s="6"/>
      <c r="F34" s="20"/>
      <c r="G34" s="6"/>
      <c r="H34" s="6"/>
      <c r="I34" s="6"/>
      <c r="J34" s="6"/>
      <c r="K34" s="6"/>
      <c r="L34" s="6"/>
      <c r="M34" s="6"/>
      <c r="N34" s="7"/>
    </row>
    <row r="35" spans="2:14" x14ac:dyDescent="0.25">
      <c r="B35" s="5"/>
      <c r="C35" s="6"/>
      <c r="D35" s="6"/>
      <c r="E35" s="6"/>
      <c r="F35" s="20"/>
      <c r="G35" s="6"/>
      <c r="H35" s="6"/>
      <c r="I35" s="6"/>
      <c r="J35" s="6"/>
      <c r="K35" s="6"/>
      <c r="L35" s="6"/>
      <c r="M35" s="6"/>
      <c r="N35" s="7"/>
    </row>
    <row r="36" spans="2:14" x14ac:dyDescent="0.25">
      <c r="B36" s="5"/>
      <c r="C36" s="6"/>
      <c r="D36" s="6"/>
      <c r="E36" s="6"/>
      <c r="F36" s="20"/>
      <c r="G36" s="6"/>
      <c r="H36" s="6"/>
      <c r="I36" s="6"/>
      <c r="J36" s="6"/>
      <c r="K36" s="6"/>
      <c r="L36" s="6"/>
      <c r="M36" s="6"/>
      <c r="N36" s="7"/>
    </row>
    <row r="37" spans="2:14" x14ac:dyDescent="0.25">
      <c r="B37" s="21"/>
      <c r="C37" s="22"/>
      <c r="D37" s="22"/>
      <c r="E37" s="22"/>
      <c r="F37" s="22"/>
      <c r="G37" s="22"/>
      <c r="H37" s="22"/>
      <c r="I37" s="22"/>
      <c r="J37" s="22"/>
      <c r="K37" s="22"/>
      <c r="L37" s="22"/>
      <c r="M37" s="22"/>
      <c r="N37" s="23"/>
    </row>
    <row r="38" spans="2:14" x14ac:dyDescent="0.25">
      <c r="B38" s="1"/>
      <c r="C38" s="1"/>
      <c r="D38" s="1"/>
      <c r="E38" s="1"/>
      <c r="F38" s="1"/>
      <c r="G38" s="1"/>
      <c r="H38" s="1"/>
      <c r="I38" s="1"/>
      <c r="J38" s="1"/>
      <c r="K38" s="1"/>
      <c r="L38" s="1"/>
      <c r="M38" s="1"/>
      <c r="N38" s="1"/>
    </row>
    <row r="39" spans="2:14" x14ac:dyDescent="0.25">
      <c r="B39" s="105"/>
      <c r="C39" s="105"/>
      <c r="D39" s="105"/>
      <c r="E39" s="105"/>
      <c r="F39" s="105"/>
      <c r="G39" s="105"/>
      <c r="H39" s="105"/>
      <c r="I39" s="105"/>
      <c r="J39" s="105"/>
      <c r="K39" s="105"/>
      <c r="L39" s="105"/>
      <c r="M39" s="105"/>
      <c r="N39" s="105"/>
    </row>
  </sheetData>
  <mergeCells count="5">
    <mergeCell ref="B39:N39"/>
    <mergeCell ref="B10:N11"/>
    <mergeCell ref="B6:N7"/>
    <mergeCell ref="B8:N8"/>
    <mergeCell ref="B9:N9"/>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C16110EF-FA51-455C-A218-FF22A743F8BD}">
          <x14:formula1>
            <xm:f>'Evalutaion 25'!$D:$D</xm:f>
          </x14:formula1>
          <xm:sqref>F4</xm:sqref>
        </x14:dataValidation>
        <x14:dataValidation type="list" allowBlank="1" showInputMessage="1" showErrorMessage="1" xr:uid="{C98B92EC-625D-4836-B3E3-955B4AD029DC}">
          <x14:formula1>
            <xm:f>'Evalutaion 25'!$E$13:$E$209</xm:f>
          </x14:formula1>
          <xm:sqref>M16</xm:sqref>
        </x14:dataValidation>
        <x14:dataValidation type="list" allowBlank="1" showInputMessage="1" showErrorMessage="1" xr:uid="{C92D988D-9DC7-46B5-9BAB-B69158BD39EA}">
          <x14:formula1>
            <xm:f>'Evalutaion 25'!$D$13:$D$209</xm:f>
          </x14:formula1>
          <xm:sqref>M15</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7BCE-FD04-4991-A07B-8BD1C3927B50}">
  <dimension ref="A3:N209"/>
  <sheetViews>
    <sheetView tabSelected="1" topLeftCell="A4" zoomScale="85" zoomScaleNormal="85" workbookViewId="0">
      <selection activeCell="D67" sqref="D67"/>
    </sheetView>
  </sheetViews>
  <sheetFormatPr defaultRowHeight="15" x14ac:dyDescent="0.25"/>
  <cols>
    <col min="1" max="1" width="23.28515625" bestFit="1" customWidth="1"/>
    <col min="2" max="2" width="52.28515625" bestFit="1" customWidth="1"/>
    <col min="3" max="3" width="15.85546875" bestFit="1" customWidth="1"/>
    <col min="4" max="4" width="12" bestFit="1" customWidth="1"/>
    <col min="5" max="5" width="44.7109375" bestFit="1" customWidth="1"/>
    <col min="6" max="6" width="48.5703125" bestFit="1" customWidth="1"/>
    <col min="7" max="7" width="45.42578125" bestFit="1" customWidth="1"/>
    <col min="8" max="8" width="34.7109375" bestFit="1" customWidth="1"/>
    <col min="9" max="9" width="19.5703125" bestFit="1" customWidth="1"/>
    <col min="10" max="10" width="28.140625" bestFit="1" customWidth="1"/>
    <col min="11" max="11" width="21.5703125" bestFit="1" customWidth="1"/>
    <col min="12" max="12" width="17.85546875" bestFit="1" customWidth="1"/>
    <col min="13" max="13" width="14.7109375" style="24" bestFit="1" customWidth="1"/>
  </cols>
  <sheetData>
    <row r="3" spans="1:14" x14ac:dyDescent="0.25">
      <c r="D3" s="93" t="s">
        <v>577</v>
      </c>
      <c r="E3" s="54" t="s">
        <v>529</v>
      </c>
      <c r="F3" s="51" cm="1">
        <f t="array" aca="1" ref="F3" ca="1">SUMPRODUCT(SUBTOTAL(103,OFFSET('Evalutaion 25'!$M$2,ROW('Evalutaion 25'!$M$2:$M$500)-ROW('Evalutaion 25'!$M$2),0))*('Evalutaion 25'!$M$2:$M$500="3A"))</f>
        <v>0</v>
      </c>
      <c r="G3" s="51" cm="1">
        <f t="array" aca="1" ref="G3" ca="1">SUMPRODUCT(SUBTOTAL(103,OFFSET('Evalutaion 25'!$M$2,ROW('Evalutaion 25'!$M$2:$M$500)-ROW('Evalutaion 25'!$M$2),0))*('Evalutaion 25'!$M$2:$M$500="3B"))</f>
        <v>2</v>
      </c>
      <c r="H3" s="52" cm="1">
        <f t="array" aca="1" ref="H3" ca="1">SUMPRODUCT(SUBTOTAL(103,OFFSET('Evalutaion 25'!$M$2,ROW('Evalutaion 25'!$M$2:$M$500)-ROW('Evalutaion 25'!$M$2),0))*('Evalutaion 25'!$M$2:$M$500="3C"))</f>
        <v>19</v>
      </c>
      <c r="J3" s="99" t="s">
        <v>533</v>
      </c>
      <c r="K3" s="100"/>
      <c r="M3" s="101" t="s">
        <v>580</v>
      </c>
      <c r="N3" s="101"/>
    </row>
    <row r="4" spans="1:14" x14ac:dyDescent="0.25">
      <c r="D4" s="94"/>
      <c r="E4" s="55" t="s">
        <v>576</v>
      </c>
      <c r="F4" s="25" cm="1">
        <f t="array" aca="1" ref="F4" ca="1">SUMPRODUCT(SUBTOTAL(103,OFFSET('Evalutaion 25'!$M$2,ROW('Evalutaion 25'!$M$2:$M$500)-ROW('Evalutaion 25'!$M$2),0))*('Evalutaion 25'!$M$2:$M$500="2A"))</f>
        <v>2</v>
      </c>
      <c r="G4" s="25" cm="1">
        <f t="array" aca="1" ref="G4" ca="1">SUMPRODUCT(SUBTOTAL(103,OFFSET('Evalutaion 25'!$M$2,ROW('Evalutaion 25'!$M$2:$M$500)-ROW('Evalutaion 25'!$M$2),0))*('Evalutaion 25'!$M$2:$M$500="2B"))</f>
        <v>38</v>
      </c>
      <c r="H4" s="53" cm="1">
        <f t="array" aca="1" ref="H4" ca="1">SUMPRODUCT(SUBTOTAL(103,OFFSET('Evalutaion 25'!$M$2,ROW('Evalutaion 25'!$M$2:$M$500)-ROW('Evalutaion 25'!$M$2),0))*('Evalutaion 25'!$M$2:$M$500="2C"))</f>
        <v>1</v>
      </c>
      <c r="J4" s="40" t="s">
        <v>516</v>
      </c>
      <c r="K4" s="40">
        <v>3.4</v>
      </c>
      <c r="M4" s="65" t="s">
        <v>579</v>
      </c>
      <c r="N4" s="65">
        <v>3</v>
      </c>
    </row>
    <row r="5" spans="1:14" x14ac:dyDescent="0.25">
      <c r="D5" s="95"/>
      <c r="E5" s="56" t="s">
        <v>579</v>
      </c>
      <c r="F5" s="25" cm="1">
        <f t="array" aca="1" ref="F5" ca="1">SUMPRODUCT(SUBTOTAL(103,OFFSET('Evalutaion 25'!$M$2,ROW('Evalutaion 25'!$M$2:$M$500)-ROW('Evalutaion 25'!$M$2),0))*('Evalutaion 25'!$M$2:$M$500="1A"))</f>
        <v>0</v>
      </c>
      <c r="G5" s="25" cm="1">
        <f t="array" aca="1" ref="G5" ca="1">SUMPRODUCT(SUBTOTAL(103,OFFSET('Evalutaion 25'!$M$2,ROW('Evalutaion 25'!$M$2:$M$500)-ROW('Evalutaion 25'!$M$2),0))*('Evalutaion 25'!$M$2:$M$500="1B"))</f>
        <v>0</v>
      </c>
      <c r="H5" s="53" cm="1">
        <f t="array" aca="1" ref="H5" ca="1">SUMPRODUCT(SUBTOTAL(103,OFFSET('Evalutaion 25'!$M$2,ROW('Evalutaion 25'!$M$2:$M$500)-ROW('Evalutaion 25'!$M$2),0))*('Evalutaion 25'!$M$2:$M$500="1C"))</f>
        <v>0</v>
      </c>
      <c r="J5" s="40" t="s">
        <v>522</v>
      </c>
      <c r="K5" s="40">
        <v>4.4000000000000004</v>
      </c>
      <c r="M5" s="65" t="s">
        <v>576</v>
      </c>
      <c r="N5" s="65">
        <v>4.4000000000000004</v>
      </c>
    </row>
    <row r="6" spans="1:14" x14ac:dyDescent="0.25">
      <c r="F6" s="57" t="s">
        <v>516</v>
      </c>
      <c r="G6" s="58" t="s">
        <v>522</v>
      </c>
      <c r="H6" s="59" t="s">
        <v>529</v>
      </c>
      <c r="J6" s="40" t="s">
        <v>529</v>
      </c>
      <c r="K6" s="40"/>
      <c r="M6" s="65" t="s">
        <v>529</v>
      </c>
      <c r="N6" s="65"/>
    </row>
    <row r="7" spans="1:14" x14ac:dyDescent="0.25">
      <c r="F7" s="96" t="s">
        <v>578</v>
      </c>
      <c r="G7" s="97"/>
      <c r="H7" s="98"/>
    </row>
    <row r="13" spans="1:14" x14ac:dyDescent="0.25">
      <c r="A13" s="88" t="s">
        <v>0</v>
      </c>
      <c r="B13" s="89" t="s">
        <v>1</v>
      </c>
      <c r="C13" s="89" t="s">
        <v>2</v>
      </c>
      <c r="D13" s="89" t="s">
        <v>3</v>
      </c>
      <c r="E13" s="89" t="s">
        <v>4</v>
      </c>
      <c r="F13" s="89" t="s">
        <v>5</v>
      </c>
      <c r="G13" s="89" t="s">
        <v>6</v>
      </c>
      <c r="H13" s="90" t="s">
        <v>7</v>
      </c>
      <c r="I13" s="81" t="s">
        <v>8</v>
      </c>
      <c r="J13" s="81" t="s">
        <v>9</v>
      </c>
      <c r="K13" s="81" t="s">
        <v>10</v>
      </c>
      <c r="L13" s="81" t="s">
        <v>11</v>
      </c>
      <c r="M13" s="81" t="s">
        <v>584</v>
      </c>
    </row>
    <row r="14" spans="1:14" hidden="1" x14ac:dyDescent="0.25">
      <c r="A14" s="76">
        <v>31260</v>
      </c>
      <c r="B14" s="12" t="s">
        <v>12</v>
      </c>
      <c r="C14" s="66" t="s">
        <v>13</v>
      </c>
      <c r="D14" s="12" t="s">
        <v>585</v>
      </c>
      <c r="E14" s="12" t="s">
        <v>589</v>
      </c>
      <c r="F14" s="12" t="s">
        <v>14</v>
      </c>
      <c r="G14" s="12" t="s">
        <v>15</v>
      </c>
      <c r="H14" s="65">
        <v>3.5</v>
      </c>
      <c r="I14" s="65">
        <v>3</v>
      </c>
      <c r="J14" s="65">
        <v>4</v>
      </c>
      <c r="K14" s="65" t="str">
        <f t="shared" ref="K14:K45" si="0">IF(H14="","",
IF(OR(H14="NR",H14="NA"),"NA",
IF(H14&lt;$K$4,$J$4,
IF(H14&lt;$K$5,$J$5,$J$6)
)))</f>
        <v>Average</v>
      </c>
      <c r="L14" s="65" t="str">
        <f t="shared" ref="L14:L45" si="1">IF(J14="","",
IF(OR(J14="NR",J14="NA"),"NA",
IF(J14&lt;$N$4,$M$4,
IF(J14&lt;$N$5,$M$5,$M$6)
)))</f>
        <v>Medium</v>
      </c>
      <c r="M14" s="70" t="str">
        <f t="shared" ref="M14:M45" si="2">IF(OR(K14="",L14=""),"",
IF(AND(K14=$J$6,L14=$M$6),"3C",
IF(AND(K14=$J$5,L14=$M$6),"3B",
IF(AND(K14=$J$4,L14=$M$6),"3A",
IF(AND(K14=$J$6,L14=$M$5),"2C",
IF(AND(K14=$J$5,L14=$M$5),"2B",
IF(AND(K14=$J$4,L14=$M$5),"2A",
IF(AND(K14=$J$6,L14=$M$4),"1C",
IF(AND(K14=$J$5,L14=$M$4),"1B",
IF(AND(K14=$J$4,L14=$M$4),"1A","")
)))))))))</f>
        <v>2B</v>
      </c>
    </row>
    <row r="15" spans="1:14" hidden="1" x14ac:dyDescent="0.25">
      <c r="A15" s="76">
        <v>50169</v>
      </c>
      <c r="B15" s="12" t="s">
        <v>256</v>
      </c>
      <c r="C15" s="66" t="s">
        <v>257</v>
      </c>
      <c r="D15" s="12" t="s">
        <v>585</v>
      </c>
      <c r="E15" s="12" t="s">
        <v>593</v>
      </c>
      <c r="F15" s="12" t="s">
        <v>258</v>
      </c>
      <c r="G15" s="12" t="s">
        <v>15</v>
      </c>
      <c r="H15" s="65">
        <v>3.4</v>
      </c>
      <c r="I15" s="65">
        <v>3.4</v>
      </c>
      <c r="J15" s="65">
        <v>3.3</v>
      </c>
      <c r="K15" s="65" t="str">
        <f t="shared" si="0"/>
        <v>Average</v>
      </c>
      <c r="L15" s="65" t="str">
        <f t="shared" si="1"/>
        <v>Medium</v>
      </c>
      <c r="M15" s="70" t="str">
        <f t="shared" si="2"/>
        <v>2B</v>
      </c>
    </row>
    <row r="16" spans="1:14" x14ac:dyDescent="0.25">
      <c r="A16" s="76">
        <v>4756</v>
      </c>
      <c r="B16" s="12" t="s">
        <v>144</v>
      </c>
      <c r="C16" s="66" t="s">
        <v>145</v>
      </c>
      <c r="D16" s="12" t="s">
        <v>586</v>
      </c>
      <c r="E16" s="12" t="s">
        <v>556</v>
      </c>
      <c r="F16" s="12" t="s">
        <v>146</v>
      </c>
      <c r="G16" s="12" t="s">
        <v>147</v>
      </c>
      <c r="H16" s="65">
        <v>4.7</v>
      </c>
      <c r="I16" s="65">
        <v>4.5999999999999996</v>
      </c>
      <c r="J16" s="65">
        <v>4.8</v>
      </c>
      <c r="K16" s="65" t="str">
        <f t="shared" si="0"/>
        <v>High</v>
      </c>
      <c r="L16" s="65" t="str">
        <f t="shared" si="1"/>
        <v>High</v>
      </c>
      <c r="M16" s="70" t="str">
        <f t="shared" si="2"/>
        <v>3C</v>
      </c>
    </row>
    <row r="17" spans="1:13" hidden="1" x14ac:dyDescent="0.25">
      <c r="A17" s="76">
        <v>50496</v>
      </c>
      <c r="B17" s="12" t="s">
        <v>193</v>
      </c>
      <c r="C17" s="66" t="s">
        <v>194</v>
      </c>
      <c r="D17" s="12" t="s">
        <v>585</v>
      </c>
      <c r="E17" s="12" t="s">
        <v>591</v>
      </c>
      <c r="F17" s="12" t="s">
        <v>195</v>
      </c>
      <c r="G17" s="12" t="s">
        <v>196</v>
      </c>
      <c r="H17" s="65">
        <v>3</v>
      </c>
      <c r="I17" s="65">
        <v>3</v>
      </c>
      <c r="J17" s="65">
        <v>3</v>
      </c>
      <c r="K17" s="65" t="str">
        <f t="shared" si="0"/>
        <v>Poor</v>
      </c>
      <c r="L17" s="65" t="str">
        <f t="shared" si="1"/>
        <v>Medium</v>
      </c>
      <c r="M17" s="70" t="str">
        <f t="shared" si="2"/>
        <v>2A</v>
      </c>
    </row>
    <row r="18" spans="1:13" hidden="1" x14ac:dyDescent="0.25">
      <c r="A18" s="76">
        <v>48121</v>
      </c>
      <c r="B18" s="12" t="s">
        <v>271</v>
      </c>
      <c r="C18" s="66" t="s">
        <v>448</v>
      </c>
      <c r="D18" s="12" t="s">
        <v>585</v>
      </c>
      <c r="E18" s="12" t="s">
        <v>595</v>
      </c>
      <c r="F18" s="12" t="s">
        <v>449</v>
      </c>
      <c r="G18" s="12" t="s">
        <v>283</v>
      </c>
      <c r="H18" s="65">
        <v>4.2</v>
      </c>
      <c r="I18" s="65">
        <v>4.2</v>
      </c>
      <c r="J18" s="65">
        <v>4.2</v>
      </c>
      <c r="K18" s="65" t="str">
        <f t="shared" si="0"/>
        <v>Average</v>
      </c>
      <c r="L18" s="65" t="str">
        <f t="shared" si="1"/>
        <v>Medium</v>
      </c>
      <c r="M18" s="70" t="str">
        <f t="shared" si="2"/>
        <v>2B</v>
      </c>
    </row>
    <row r="19" spans="1:13" hidden="1" x14ac:dyDescent="0.25">
      <c r="A19" s="87">
        <v>31258</v>
      </c>
      <c r="B19" s="73" t="s">
        <v>16</v>
      </c>
      <c r="C19" s="74" t="s">
        <v>17</v>
      </c>
      <c r="D19" s="73" t="s">
        <v>585</v>
      </c>
      <c r="E19" s="73" t="s">
        <v>589</v>
      </c>
      <c r="F19" s="73" t="s">
        <v>18</v>
      </c>
      <c r="G19" s="73" t="s">
        <v>15</v>
      </c>
      <c r="H19" s="47" t="s">
        <v>19</v>
      </c>
      <c r="I19" s="47" t="s">
        <v>19</v>
      </c>
      <c r="J19" s="47" t="s">
        <v>19</v>
      </c>
      <c r="K19" s="47" t="str">
        <f t="shared" si="0"/>
        <v>NA</v>
      </c>
      <c r="L19" s="47" t="str">
        <f t="shared" si="1"/>
        <v>NA</v>
      </c>
      <c r="M19" s="92" t="str">
        <f t="shared" si="2"/>
        <v/>
      </c>
    </row>
    <row r="20" spans="1:13" hidden="1" x14ac:dyDescent="0.25">
      <c r="A20" s="76">
        <v>10848</v>
      </c>
      <c r="B20" s="12" t="s">
        <v>313</v>
      </c>
      <c r="C20" s="66" t="s">
        <v>314</v>
      </c>
      <c r="D20" s="12" t="s">
        <v>586</v>
      </c>
      <c r="E20" s="12" t="s">
        <v>558</v>
      </c>
      <c r="F20" s="12" t="s">
        <v>315</v>
      </c>
      <c r="G20" s="12" t="s">
        <v>316</v>
      </c>
      <c r="H20" s="65">
        <v>5</v>
      </c>
      <c r="I20" s="65">
        <v>5</v>
      </c>
      <c r="J20" s="65">
        <v>5</v>
      </c>
      <c r="K20" s="65" t="str">
        <f t="shared" si="0"/>
        <v>High</v>
      </c>
      <c r="L20" s="65" t="str">
        <f t="shared" si="1"/>
        <v>High</v>
      </c>
      <c r="M20" s="70" t="str">
        <f t="shared" si="2"/>
        <v>3C</v>
      </c>
    </row>
    <row r="21" spans="1:13" x14ac:dyDescent="0.25">
      <c r="A21" s="76">
        <v>6557</v>
      </c>
      <c r="B21" s="12" t="s">
        <v>53</v>
      </c>
      <c r="C21" s="66" t="s">
        <v>25</v>
      </c>
      <c r="D21" s="12" t="s">
        <v>587</v>
      </c>
      <c r="E21" s="12" t="s">
        <v>559</v>
      </c>
      <c r="F21" s="12" t="s">
        <v>54</v>
      </c>
      <c r="G21" s="12" t="s">
        <v>55</v>
      </c>
      <c r="H21" s="65">
        <v>3.9</v>
      </c>
      <c r="I21" s="65">
        <v>4</v>
      </c>
      <c r="J21" s="65">
        <v>3.8</v>
      </c>
      <c r="K21" s="65" t="str">
        <f t="shared" si="0"/>
        <v>Average</v>
      </c>
      <c r="L21" s="65" t="str">
        <f t="shared" si="1"/>
        <v>Medium</v>
      </c>
      <c r="M21" s="70" t="str">
        <f t="shared" si="2"/>
        <v>2B</v>
      </c>
    </row>
    <row r="22" spans="1:13" hidden="1" x14ac:dyDescent="0.25">
      <c r="A22" s="76">
        <v>4984</v>
      </c>
      <c r="B22" s="12" t="s">
        <v>170</v>
      </c>
      <c r="C22" s="66" t="s">
        <v>171</v>
      </c>
      <c r="D22" s="12" t="s">
        <v>586</v>
      </c>
      <c r="E22" s="12" t="s">
        <v>560</v>
      </c>
      <c r="F22" s="12" t="s">
        <v>172</v>
      </c>
      <c r="G22" s="12" t="s">
        <v>173</v>
      </c>
      <c r="H22" s="65">
        <v>4</v>
      </c>
      <c r="I22" s="65">
        <v>4</v>
      </c>
      <c r="J22" s="65">
        <v>4</v>
      </c>
      <c r="K22" s="65" t="str">
        <f t="shared" si="0"/>
        <v>Average</v>
      </c>
      <c r="L22" s="65" t="str">
        <f t="shared" si="1"/>
        <v>Medium</v>
      </c>
      <c r="M22" s="70" t="str">
        <f t="shared" si="2"/>
        <v>2B</v>
      </c>
    </row>
    <row r="23" spans="1:13" hidden="1" x14ac:dyDescent="0.25">
      <c r="A23" s="76">
        <v>10115</v>
      </c>
      <c r="B23" s="12" t="s">
        <v>316</v>
      </c>
      <c r="C23" s="66" t="s">
        <v>25</v>
      </c>
      <c r="D23" s="12" t="s">
        <v>586</v>
      </c>
      <c r="E23" s="12" t="s">
        <v>558</v>
      </c>
      <c r="F23" s="12" t="s">
        <v>465</v>
      </c>
      <c r="G23" s="12" t="s">
        <v>382</v>
      </c>
      <c r="H23" s="65">
        <v>4.8</v>
      </c>
      <c r="I23" s="65">
        <v>4.8</v>
      </c>
      <c r="J23" s="65">
        <v>4.7</v>
      </c>
      <c r="K23" s="65" t="str">
        <f t="shared" si="0"/>
        <v>High</v>
      </c>
      <c r="L23" s="65" t="str">
        <f t="shared" si="1"/>
        <v>High</v>
      </c>
      <c r="M23" s="70" t="str">
        <f t="shared" si="2"/>
        <v>3C</v>
      </c>
    </row>
    <row r="24" spans="1:13" x14ac:dyDescent="0.25">
      <c r="A24" s="76">
        <v>48322</v>
      </c>
      <c r="B24" s="12" t="s">
        <v>56</v>
      </c>
      <c r="C24" s="66" t="s">
        <v>45</v>
      </c>
      <c r="D24" s="12" t="s">
        <v>587</v>
      </c>
      <c r="E24" s="12" t="s">
        <v>559</v>
      </c>
      <c r="F24" s="12" t="s">
        <v>57</v>
      </c>
      <c r="G24" s="12" t="s">
        <v>58</v>
      </c>
      <c r="H24" s="65">
        <v>3.8</v>
      </c>
      <c r="I24" s="65">
        <v>3.5</v>
      </c>
      <c r="J24" s="65">
        <v>4</v>
      </c>
      <c r="K24" s="65" t="str">
        <f t="shared" si="0"/>
        <v>Average</v>
      </c>
      <c r="L24" s="65" t="str">
        <f t="shared" si="1"/>
        <v>Medium</v>
      </c>
      <c r="M24" s="70" t="str">
        <f t="shared" si="2"/>
        <v>2B</v>
      </c>
    </row>
    <row r="25" spans="1:13" hidden="1" x14ac:dyDescent="0.25">
      <c r="A25" s="76">
        <v>50953</v>
      </c>
      <c r="B25" s="12" t="s">
        <v>440</v>
      </c>
      <c r="C25" s="66" t="s">
        <v>441</v>
      </c>
      <c r="D25" s="12" t="s">
        <v>586</v>
      </c>
      <c r="E25" s="12" t="s">
        <v>591</v>
      </c>
      <c r="F25" s="12" t="s">
        <v>442</v>
      </c>
      <c r="G25" s="12" t="s">
        <v>243</v>
      </c>
      <c r="H25" s="65">
        <v>3.4</v>
      </c>
      <c r="I25" s="65">
        <v>3.4</v>
      </c>
      <c r="J25" s="65">
        <v>3.4</v>
      </c>
      <c r="K25" s="65" t="str">
        <f t="shared" si="0"/>
        <v>Average</v>
      </c>
      <c r="L25" s="65" t="str">
        <f t="shared" si="1"/>
        <v>Medium</v>
      </c>
      <c r="M25" s="70" t="str">
        <f t="shared" si="2"/>
        <v>2B</v>
      </c>
    </row>
    <row r="26" spans="1:13" hidden="1" x14ac:dyDescent="0.25">
      <c r="A26" s="76">
        <v>31196</v>
      </c>
      <c r="B26" s="12" t="s">
        <v>151</v>
      </c>
      <c r="C26" s="66" t="s">
        <v>418</v>
      </c>
      <c r="D26" s="12" t="s">
        <v>585</v>
      </c>
      <c r="E26" s="12" t="s">
        <v>596</v>
      </c>
      <c r="F26" s="12" t="s">
        <v>419</v>
      </c>
      <c r="G26" s="12" t="s">
        <v>420</v>
      </c>
      <c r="H26" s="65" t="s">
        <v>267</v>
      </c>
      <c r="I26" s="65" t="s">
        <v>19</v>
      </c>
      <c r="J26" s="65" t="s">
        <v>19</v>
      </c>
      <c r="K26" s="65" t="str">
        <f t="shared" si="0"/>
        <v>NA</v>
      </c>
      <c r="L26" s="65" t="str">
        <f t="shared" si="1"/>
        <v>NA</v>
      </c>
      <c r="M26" s="70" t="str">
        <f t="shared" si="2"/>
        <v/>
      </c>
    </row>
    <row r="27" spans="1:13" hidden="1" x14ac:dyDescent="0.25">
      <c r="A27" s="76">
        <v>6572</v>
      </c>
      <c r="B27" s="12" t="s">
        <v>238</v>
      </c>
      <c r="C27" s="66" t="s">
        <v>25</v>
      </c>
      <c r="D27" s="12" t="s">
        <v>587</v>
      </c>
      <c r="E27" s="12" t="s">
        <v>591</v>
      </c>
      <c r="F27" s="12" t="s">
        <v>230</v>
      </c>
      <c r="G27" s="12" t="s">
        <v>225</v>
      </c>
      <c r="H27" s="65">
        <v>3.5</v>
      </c>
      <c r="I27" s="65">
        <v>3.8</v>
      </c>
      <c r="J27" s="65">
        <v>3.2</v>
      </c>
      <c r="K27" s="65" t="str">
        <f t="shared" si="0"/>
        <v>Average</v>
      </c>
      <c r="L27" s="65" t="str">
        <f t="shared" si="1"/>
        <v>Medium</v>
      </c>
      <c r="M27" s="70" t="str">
        <f t="shared" si="2"/>
        <v>2B</v>
      </c>
    </row>
    <row r="28" spans="1:13" x14ac:dyDescent="0.25">
      <c r="A28" s="76">
        <v>6609</v>
      </c>
      <c r="B28" s="12" t="s">
        <v>58</v>
      </c>
      <c r="C28" s="66" t="s">
        <v>25</v>
      </c>
      <c r="D28" s="12" t="s">
        <v>587</v>
      </c>
      <c r="E28" s="12" t="s">
        <v>559</v>
      </c>
      <c r="F28" s="12" t="s">
        <v>387</v>
      </c>
      <c r="G28" s="12" t="s">
        <v>65</v>
      </c>
      <c r="H28" s="65">
        <v>4.0999999999999996</v>
      </c>
      <c r="I28" s="65">
        <v>4.5</v>
      </c>
      <c r="J28" s="65">
        <v>3.7</v>
      </c>
      <c r="K28" s="65" t="str">
        <f t="shared" si="0"/>
        <v>Average</v>
      </c>
      <c r="L28" s="65" t="str">
        <f t="shared" si="1"/>
        <v>Medium</v>
      </c>
      <c r="M28" s="70" t="str">
        <f t="shared" si="2"/>
        <v>2B</v>
      </c>
    </row>
    <row r="29" spans="1:13" hidden="1" x14ac:dyDescent="0.25">
      <c r="A29" s="76">
        <v>50733</v>
      </c>
      <c r="B29" s="12" t="s">
        <v>215</v>
      </c>
      <c r="C29" s="66" t="s">
        <v>239</v>
      </c>
      <c r="D29" s="12" t="s">
        <v>587</v>
      </c>
      <c r="E29" s="12" t="s">
        <v>591</v>
      </c>
      <c r="F29" s="12" t="s">
        <v>240</v>
      </c>
      <c r="G29" s="12" t="s">
        <v>238</v>
      </c>
      <c r="H29" s="65">
        <v>3.8</v>
      </c>
      <c r="I29" s="65">
        <v>3.8</v>
      </c>
      <c r="J29" s="65">
        <v>3.7</v>
      </c>
      <c r="K29" s="65" t="str">
        <f t="shared" si="0"/>
        <v>Average</v>
      </c>
      <c r="L29" s="65" t="str">
        <f t="shared" si="1"/>
        <v>Medium</v>
      </c>
      <c r="M29" s="70" t="str">
        <f t="shared" si="2"/>
        <v>2B</v>
      </c>
    </row>
    <row r="30" spans="1:13" hidden="1" x14ac:dyDescent="0.25">
      <c r="A30" s="76">
        <v>10853</v>
      </c>
      <c r="B30" s="12" t="s">
        <v>237</v>
      </c>
      <c r="C30" s="66" t="s">
        <v>426</v>
      </c>
      <c r="D30" s="12" t="s">
        <v>586</v>
      </c>
      <c r="E30" s="12" t="s">
        <v>591</v>
      </c>
      <c r="F30" s="12" t="s">
        <v>427</v>
      </c>
      <c r="G30" s="12" t="s">
        <v>250</v>
      </c>
      <c r="H30" s="65">
        <v>4.5999999999999996</v>
      </c>
      <c r="I30" s="65">
        <v>4.9000000000000004</v>
      </c>
      <c r="J30" s="65">
        <v>4.3</v>
      </c>
      <c r="K30" s="65" t="str">
        <f t="shared" si="0"/>
        <v>High</v>
      </c>
      <c r="L30" s="65" t="str">
        <f t="shared" si="1"/>
        <v>Medium</v>
      </c>
      <c r="M30" s="70" t="str">
        <f t="shared" si="2"/>
        <v>2C</v>
      </c>
    </row>
    <row r="31" spans="1:13" hidden="1" x14ac:dyDescent="0.25">
      <c r="A31" s="76">
        <v>49223</v>
      </c>
      <c r="B31" s="12" t="s">
        <v>289</v>
      </c>
      <c r="C31" s="66" t="s">
        <v>290</v>
      </c>
      <c r="D31" s="12" t="s">
        <v>585</v>
      </c>
      <c r="E31" s="12" t="s">
        <v>564</v>
      </c>
      <c r="F31" s="12" t="s">
        <v>291</v>
      </c>
      <c r="G31" s="12" t="s">
        <v>292</v>
      </c>
      <c r="H31" s="65">
        <v>4</v>
      </c>
      <c r="I31" s="65">
        <v>4</v>
      </c>
      <c r="J31" s="65">
        <v>4</v>
      </c>
      <c r="K31" s="65" t="str">
        <f t="shared" si="0"/>
        <v>Average</v>
      </c>
      <c r="L31" s="65" t="str">
        <f t="shared" si="1"/>
        <v>Medium</v>
      </c>
      <c r="M31" s="70" t="str">
        <f t="shared" si="2"/>
        <v>2B</v>
      </c>
    </row>
    <row r="32" spans="1:13" hidden="1" x14ac:dyDescent="0.25">
      <c r="A32" s="76">
        <v>6570</v>
      </c>
      <c r="B32" s="12" t="s">
        <v>320</v>
      </c>
      <c r="C32" s="66" t="s">
        <v>25</v>
      </c>
      <c r="D32" s="12" t="s">
        <v>587</v>
      </c>
      <c r="E32" s="12" t="s">
        <v>558</v>
      </c>
      <c r="F32" s="12" t="s">
        <v>321</v>
      </c>
      <c r="G32" s="12" t="s">
        <v>319</v>
      </c>
      <c r="H32" s="65">
        <v>3.9</v>
      </c>
      <c r="I32" s="65">
        <v>3.8</v>
      </c>
      <c r="J32" s="65">
        <v>4</v>
      </c>
      <c r="K32" s="65" t="str">
        <f t="shared" si="0"/>
        <v>Average</v>
      </c>
      <c r="L32" s="65" t="str">
        <f t="shared" si="1"/>
        <v>Medium</v>
      </c>
      <c r="M32" s="70" t="str">
        <f t="shared" si="2"/>
        <v>2B</v>
      </c>
    </row>
    <row r="33" spans="1:13" hidden="1" x14ac:dyDescent="0.25">
      <c r="A33" s="76">
        <v>50712</v>
      </c>
      <c r="B33" s="12" t="s">
        <v>322</v>
      </c>
      <c r="C33" s="66" t="s">
        <v>217</v>
      </c>
      <c r="D33" s="12" t="s">
        <v>587</v>
      </c>
      <c r="E33" s="12" t="s">
        <v>558</v>
      </c>
      <c r="F33" s="12" t="s">
        <v>323</v>
      </c>
      <c r="G33" s="12" t="s">
        <v>319</v>
      </c>
      <c r="H33" s="65">
        <v>3.4</v>
      </c>
      <c r="I33" s="65">
        <v>3.4</v>
      </c>
      <c r="J33" s="65">
        <v>3.4</v>
      </c>
      <c r="K33" s="65" t="str">
        <f t="shared" si="0"/>
        <v>Average</v>
      </c>
      <c r="L33" s="65" t="str">
        <f t="shared" si="1"/>
        <v>Medium</v>
      </c>
      <c r="M33" s="70" t="str">
        <f t="shared" si="2"/>
        <v>2B</v>
      </c>
    </row>
    <row r="34" spans="1:13" hidden="1" x14ac:dyDescent="0.25">
      <c r="A34" s="76">
        <v>6555</v>
      </c>
      <c r="B34" s="12" t="s">
        <v>317</v>
      </c>
      <c r="C34" s="66" t="s">
        <v>25</v>
      </c>
      <c r="D34" s="12" t="s">
        <v>587</v>
      </c>
      <c r="E34" s="12" t="s">
        <v>558</v>
      </c>
      <c r="F34" s="12" t="s">
        <v>318</v>
      </c>
      <c r="G34" s="12" t="s">
        <v>319</v>
      </c>
      <c r="H34" s="65">
        <v>3.8</v>
      </c>
      <c r="I34" s="65">
        <v>3.7</v>
      </c>
      <c r="J34" s="65">
        <v>3.8</v>
      </c>
      <c r="K34" s="65" t="str">
        <f t="shared" si="0"/>
        <v>Average</v>
      </c>
      <c r="L34" s="65" t="str">
        <f t="shared" si="1"/>
        <v>Medium</v>
      </c>
      <c r="M34" s="70" t="str">
        <f t="shared" si="2"/>
        <v>2B</v>
      </c>
    </row>
    <row r="35" spans="1:13" hidden="1" x14ac:dyDescent="0.25">
      <c r="A35" s="76">
        <v>6595</v>
      </c>
      <c r="B35" s="12" t="s">
        <v>443</v>
      </c>
      <c r="C35" s="66" t="s">
        <v>25</v>
      </c>
      <c r="D35" s="12" t="s">
        <v>587</v>
      </c>
      <c r="E35" s="12" t="s">
        <v>593</v>
      </c>
      <c r="F35" s="12" t="s">
        <v>444</v>
      </c>
      <c r="G35" s="12" t="s">
        <v>384</v>
      </c>
      <c r="H35" s="65">
        <v>4.8</v>
      </c>
      <c r="I35" s="65">
        <v>4.5999999999999996</v>
      </c>
      <c r="J35" s="65">
        <v>5</v>
      </c>
      <c r="K35" s="65" t="str">
        <f t="shared" si="0"/>
        <v>High</v>
      </c>
      <c r="L35" s="65" t="str">
        <f t="shared" si="1"/>
        <v>High</v>
      </c>
      <c r="M35" s="70" t="str">
        <f t="shared" si="2"/>
        <v>3C</v>
      </c>
    </row>
    <row r="36" spans="1:13" x14ac:dyDescent="0.25">
      <c r="A36" s="76">
        <v>49926</v>
      </c>
      <c r="B36" s="12" t="s">
        <v>59</v>
      </c>
      <c r="C36" s="66" t="s">
        <v>60</v>
      </c>
      <c r="D36" s="12" t="s">
        <v>587</v>
      </c>
      <c r="E36" s="12" t="s">
        <v>559</v>
      </c>
      <c r="F36" s="12" t="s">
        <v>61</v>
      </c>
      <c r="G36" s="12" t="s">
        <v>62</v>
      </c>
      <c r="H36" s="65">
        <v>3.2</v>
      </c>
      <c r="I36" s="65">
        <v>3</v>
      </c>
      <c r="J36" s="65">
        <v>3.3</v>
      </c>
      <c r="K36" s="65" t="str">
        <f t="shared" si="0"/>
        <v>Poor</v>
      </c>
      <c r="L36" s="65" t="str">
        <f t="shared" si="1"/>
        <v>Medium</v>
      </c>
      <c r="M36" s="70" t="str">
        <f t="shared" si="2"/>
        <v>2A</v>
      </c>
    </row>
    <row r="37" spans="1:13" hidden="1" x14ac:dyDescent="0.25">
      <c r="A37" s="76">
        <v>50433</v>
      </c>
      <c r="B37" s="12" t="s">
        <v>23</v>
      </c>
      <c r="C37" s="66" t="s">
        <v>35</v>
      </c>
      <c r="D37" s="12" t="s">
        <v>587</v>
      </c>
      <c r="E37" s="12" t="s">
        <v>589</v>
      </c>
      <c r="F37" s="12" t="s">
        <v>383</v>
      </c>
      <c r="G37" s="12" t="s">
        <v>384</v>
      </c>
      <c r="H37" s="65">
        <v>3.7</v>
      </c>
      <c r="I37" s="65">
        <v>3.6</v>
      </c>
      <c r="J37" s="65">
        <v>3.7</v>
      </c>
      <c r="K37" s="65" t="str">
        <f t="shared" si="0"/>
        <v>Average</v>
      </c>
      <c r="L37" s="65" t="str">
        <f t="shared" si="1"/>
        <v>Medium</v>
      </c>
      <c r="M37" s="70" t="str">
        <f t="shared" si="2"/>
        <v>2B</v>
      </c>
    </row>
    <row r="38" spans="1:13" hidden="1" x14ac:dyDescent="0.25">
      <c r="A38" s="76">
        <v>49579</v>
      </c>
      <c r="B38" s="12" t="s">
        <v>20</v>
      </c>
      <c r="C38" s="66" t="s">
        <v>21</v>
      </c>
      <c r="D38" s="12" t="s">
        <v>587</v>
      </c>
      <c r="E38" s="12" t="s">
        <v>589</v>
      </c>
      <c r="F38" s="12" t="s">
        <v>22</v>
      </c>
      <c r="G38" s="12" t="s">
        <v>23</v>
      </c>
      <c r="H38" s="65">
        <v>3.4</v>
      </c>
      <c r="I38" s="65">
        <v>3.5</v>
      </c>
      <c r="J38" s="65">
        <v>3.2</v>
      </c>
      <c r="K38" s="65" t="str">
        <f t="shared" si="0"/>
        <v>Average</v>
      </c>
      <c r="L38" s="65" t="str">
        <f t="shared" si="1"/>
        <v>Medium</v>
      </c>
      <c r="M38" s="70" t="str">
        <f t="shared" si="2"/>
        <v>2B</v>
      </c>
    </row>
    <row r="39" spans="1:13" x14ac:dyDescent="0.25">
      <c r="A39" s="76">
        <v>31428</v>
      </c>
      <c r="B39" s="12" t="s">
        <v>97</v>
      </c>
      <c r="C39" s="66" t="s">
        <v>98</v>
      </c>
      <c r="D39" s="12" t="s">
        <v>585</v>
      </c>
      <c r="E39" s="12" t="s">
        <v>556</v>
      </c>
      <c r="F39" s="12" t="s">
        <v>99</v>
      </c>
      <c r="G39" s="12" t="s">
        <v>100</v>
      </c>
      <c r="H39" s="65">
        <v>4.8</v>
      </c>
      <c r="I39" s="65">
        <v>4.7</v>
      </c>
      <c r="J39" s="65">
        <v>4.8</v>
      </c>
      <c r="K39" s="65" t="str">
        <f t="shared" si="0"/>
        <v>High</v>
      </c>
      <c r="L39" s="65" t="str">
        <f t="shared" si="1"/>
        <v>High</v>
      </c>
      <c r="M39" s="70" t="str">
        <f t="shared" si="2"/>
        <v>3C</v>
      </c>
    </row>
    <row r="40" spans="1:13" hidden="1" x14ac:dyDescent="0.25">
      <c r="A40" s="76">
        <v>47437</v>
      </c>
      <c r="B40" s="12" t="s">
        <v>183</v>
      </c>
      <c r="C40" s="66" t="s">
        <v>184</v>
      </c>
      <c r="D40" s="12" t="s">
        <v>586</v>
      </c>
      <c r="E40" s="12" t="s">
        <v>560</v>
      </c>
      <c r="F40" s="12" t="s">
        <v>172</v>
      </c>
      <c r="G40" s="12" t="s">
        <v>173</v>
      </c>
      <c r="H40" s="65">
        <v>4.5999999999999996</v>
      </c>
      <c r="I40" s="65">
        <v>4.8</v>
      </c>
      <c r="J40" s="65">
        <v>4.3</v>
      </c>
      <c r="K40" s="65" t="str">
        <f t="shared" si="0"/>
        <v>High</v>
      </c>
      <c r="L40" s="65" t="str">
        <f t="shared" si="1"/>
        <v>Medium</v>
      </c>
      <c r="M40" s="70" t="str">
        <f t="shared" si="2"/>
        <v>2C</v>
      </c>
    </row>
    <row r="41" spans="1:13" x14ac:dyDescent="0.25">
      <c r="A41" s="76">
        <v>48064</v>
      </c>
      <c r="B41" s="12" t="s">
        <v>148</v>
      </c>
      <c r="C41" s="66" t="s">
        <v>149</v>
      </c>
      <c r="D41" s="12" t="s">
        <v>586</v>
      </c>
      <c r="E41" s="12" t="s">
        <v>556</v>
      </c>
      <c r="F41" s="12" t="s">
        <v>150</v>
      </c>
      <c r="G41" s="12" t="s">
        <v>151</v>
      </c>
      <c r="H41" s="65">
        <v>5</v>
      </c>
      <c r="I41" s="65">
        <v>5</v>
      </c>
      <c r="J41" s="65">
        <v>5</v>
      </c>
      <c r="K41" s="65" t="str">
        <f t="shared" si="0"/>
        <v>High</v>
      </c>
      <c r="L41" s="65" t="str">
        <f t="shared" si="1"/>
        <v>High</v>
      </c>
      <c r="M41" s="70" t="str">
        <f t="shared" si="2"/>
        <v>3C</v>
      </c>
    </row>
    <row r="42" spans="1:13" hidden="1" x14ac:dyDescent="0.25">
      <c r="A42" s="76">
        <v>6571</v>
      </c>
      <c r="B42" s="12" t="s">
        <v>324</v>
      </c>
      <c r="C42" s="66" t="s">
        <v>25</v>
      </c>
      <c r="D42" s="12" t="s">
        <v>587</v>
      </c>
      <c r="E42" s="12" t="s">
        <v>558</v>
      </c>
      <c r="F42" s="12" t="s">
        <v>321</v>
      </c>
      <c r="G42" s="12" t="s">
        <v>319</v>
      </c>
      <c r="H42" s="65">
        <v>3.9</v>
      </c>
      <c r="I42" s="65">
        <v>3.7</v>
      </c>
      <c r="J42" s="65">
        <v>4</v>
      </c>
      <c r="K42" s="65" t="str">
        <f t="shared" si="0"/>
        <v>Average</v>
      </c>
      <c r="L42" s="65" t="str">
        <f t="shared" si="1"/>
        <v>Medium</v>
      </c>
      <c r="M42" s="70" t="str">
        <f t="shared" si="2"/>
        <v>2B</v>
      </c>
    </row>
    <row r="43" spans="1:13" x14ac:dyDescent="0.25">
      <c r="A43" s="76">
        <v>6552</v>
      </c>
      <c r="B43" s="12" t="s">
        <v>63</v>
      </c>
      <c r="C43" s="66" t="s">
        <v>25</v>
      </c>
      <c r="D43" s="12" t="s">
        <v>587</v>
      </c>
      <c r="E43" s="12" t="s">
        <v>559</v>
      </c>
      <c r="F43" s="12" t="s">
        <v>64</v>
      </c>
      <c r="G43" s="12" t="s">
        <v>65</v>
      </c>
      <c r="H43" s="65">
        <v>4</v>
      </c>
      <c r="I43" s="65">
        <v>4</v>
      </c>
      <c r="J43" s="65">
        <v>4</v>
      </c>
      <c r="K43" s="65" t="str">
        <f t="shared" si="0"/>
        <v>Average</v>
      </c>
      <c r="L43" s="65" t="str">
        <f t="shared" si="1"/>
        <v>Medium</v>
      </c>
      <c r="M43" s="70" t="str">
        <f t="shared" si="2"/>
        <v>2B</v>
      </c>
    </row>
    <row r="44" spans="1:13" hidden="1" x14ac:dyDescent="0.25">
      <c r="A44" s="76">
        <v>31257</v>
      </c>
      <c r="B44" s="12" t="s">
        <v>15</v>
      </c>
      <c r="C44" s="66" t="s">
        <v>445</v>
      </c>
      <c r="D44" s="12" t="s">
        <v>585</v>
      </c>
      <c r="E44" s="12" t="s">
        <v>593</v>
      </c>
      <c r="F44" s="12" t="s">
        <v>446</v>
      </c>
      <c r="G44" s="12" t="s">
        <v>382</v>
      </c>
      <c r="H44" s="65">
        <v>4.8</v>
      </c>
      <c r="I44" s="65">
        <v>4.7</v>
      </c>
      <c r="J44" s="65">
        <v>4.8</v>
      </c>
      <c r="K44" s="65" t="str">
        <f t="shared" si="0"/>
        <v>High</v>
      </c>
      <c r="L44" s="65" t="str">
        <f t="shared" si="1"/>
        <v>High</v>
      </c>
      <c r="M44" s="70" t="str">
        <f t="shared" si="2"/>
        <v>3C</v>
      </c>
    </row>
    <row r="45" spans="1:13" hidden="1" x14ac:dyDescent="0.25">
      <c r="A45" s="76">
        <v>6614</v>
      </c>
      <c r="B45" s="12" t="s">
        <v>24</v>
      </c>
      <c r="C45" s="66" t="s">
        <v>25</v>
      </c>
      <c r="D45" s="12" t="s">
        <v>587</v>
      </c>
      <c r="E45" s="12" t="s">
        <v>589</v>
      </c>
      <c r="F45" s="12" t="s">
        <v>22</v>
      </c>
      <c r="G45" s="12" t="s">
        <v>23</v>
      </c>
      <c r="H45" s="65">
        <v>3</v>
      </c>
      <c r="I45" s="65">
        <v>3</v>
      </c>
      <c r="J45" s="65">
        <v>3</v>
      </c>
      <c r="K45" s="65" t="str">
        <f t="shared" si="0"/>
        <v>Poor</v>
      </c>
      <c r="L45" s="65" t="str">
        <f t="shared" si="1"/>
        <v>Medium</v>
      </c>
      <c r="M45" s="70" t="str">
        <f t="shared" si="2"/>
        <v>2A</v>
      </c>
    </row>
    <row r="46" spans="1:13" hidden="1" x14ac:dyDescent="0.25">
      <c r="A46" s="76">
        <v>10845</v>
      </c>
      <c r="B46" s="12" t="s">
        <v>325</v>
      </c>
      <c r="C46" s="66" t="s">
        <v>326</v>
      </c>
      <c r="D46" s="12" t="s">
        <v>586</v>
      </c>
      <c r="E46" s="12" t="s">
        <v>558</v>
      </c>
      <c r="F46" s="12" t="s">
        <v>327</v>
      </c>
      <c r="G46" s="12" t="s">
        <v>316</v>
      </c>
      <c r="H46" s="65">
        <v>4.9000000000000004</v>
      </c>
      <c r="I46" s="65">
        <v>4.9000000000000004</v>
      </c>
      <c r="J46" s="65">
        <v>4.8</v>
      </c>
      <c r="K46" s="65" t="str">
        <f t="shared" ref="K46:K77" si="3">IF(H46="","",
IF(OR(H46="NR",H46="NA"),"NA",
IF(H46&lt;$K$4,$J$4,
IF(H46&lt;$K$5,$J$5,$J$6)
)))</f>
        <v>High</v>
      </c>
      <c r="L46" s="65" t="str">
        <f t="shared" ref="L46:L77" si="4">IF(J46="","",
IF(OR(J46="NR",J46="NA"),"NA",
IF(J46&lt;$N$4,$M$4,
IF(J46&lt;$N$5,$M$5,$M$6)
)))</f>
        <v>High</v>
      </c>
      <c r="M46" s="70" t="str">
        <f t="shared" ref="M46:M77" si="5">IF(OR(K46="",L46=""),"",
IF(AND(K46=$J$6,L46=$M$6),"3C",
IF(AND(K46=$J$5,L46=$M$6),"3B",
IF(AND(K46=$J$4,L46=$M$6),"3A",
IF(AND(K46=$J$6,L46=$M$5),"2C",
IF(AND(K46=$J$5,L46=$M$5),"2B",
IF(AND(K46=$J$4,L46=$M$5),"2A",
IF(AND(K46=$J$6,L46=$M$4),"1C",
IF(AND(K46=$J$5,L46=$M$4),"1B",
IF(AND(K46=$J$4,L46=$M$4),"1A","")
)))))))))</f>
        <v>3C</v>
      </c>
    </row>
    <row r="47" spans="1:13" hidden="1" x14ac:dyDescent="0.25">
      <c r="A47" s="76">
        <v>10312</v>
      </c>
      <c r="B47" s="12" t="s">
        <v>328</v>
      </c>
      <c r="C47" s="66" t="s">
        <v>329</v>
      </c>
      <c r="D47" s="12" t="s">
        <v>586</v>
      </c>
      <c r="E47" s="12" t="s">
        <v>558</v>
      </c>
      <c r="F47" s="12" t="s">
        <v>315</v>
      </c>
      <c r="G47" s="12" t="s">
        <v>316</v>
      </c>
      <c r="H47" s="65">
        <v>3.8</v>
      </c>
      <c r="I47" s="65">
        <v>3.8</v>
      </c>
      <c r="J47" s="65">
        <v>3.8</v>
      </c>
      <c r="K47" s="65" t="str">
        <f t="shared" si="3"/>
        <v>Average</v>
      </c>
      <c r="L47" s="65" t="str">
        <f t="shared" si="4"/>
        <v>Medium</v>
      </c>
      <c r="M47" s="70" t="str">
        <f t="shared" si="5"/>
        <v>2B</v>
      </c>
    </row>
    <row r="48" spans="1:13" x14ac:dyDescent="0.25">
      <c r="A48" s="76">
        <v>31254</v>
      </c>
      <c r="B48" s="12" t="s">
        <v>101</v>
      </c>
      <c r="C48" s="66" t="s">
        <v>102</v>
      </c>
      <c r="D48" s="12" t="s">
        <v>585</v>
      </c>
      <c r="E48" s="12" t="s">
        <v>556</v>
      </c>
      <c r="F48" s="12" t="s">
        <v>103</v>
      </c>
      <c r="G48" s="12" t="s">
        <v>104</v>
      </c>
      <c r="H48" s="65">
        <v>3.5</v>
      </c>
      <c r="I48" s="65">
        <v>3.1</v>
      </c>
      <c r="J48" s="65">
        <v>3.8</v>
      </c>
      <c r="K48" s="65" t="str">
        <f t="shared" si="3"/>
        <v>Average</v>
      </c>
      <c r="L48" s="65" t="str">
        <f t="shared" si="4"/>
        <v>Medium</v>
      </c>
      <c r="M48" s="70" t="str">
        <f t="shared" si="5"/>
        <v>2B</v>
      </c>
    </row>
    <row r="49" spans="1:13" hidden="1" x14ac:dyDescent="0.25">
      <c r="A49" s="76">
        <v>47611</v>
      </c>
      <c r="B49" s="12" t="s">
        <v>26</v>
      </c>
      <c r="C49" s="66" t="s">
        <v>27</v>
      </c>
      <c r="D49" s="12" t="s">
        <v>586</v>
      </c>
      <c r="E49" s="12" t="s">
        <v>589</v>
      </c>
      <c r="F49" s="12" t="s">
        <v>28</v>
      </c>
      <c r="G49" s="12" t="s">
        <v>29</v>
      </c>
      <c r="H49" s="65">
        <v>4.2</v>
      </c>
      <c r="I49" s="65">
        <v>0</v>
      </c>
      <c r="J49" s="65">
        <v>4.2</v>
      </c>
      <c r="K49" s="65" t="str">
        <f t="shared" si="3"/>
        <v>Average</v>
      </c>
      <c r="L49" s="65" t="str">
        <f t="shared" si="4"/>
        <v>Medium</v>
      </c>
      <c r="M49" s="70" t="str">
        <f t="shared" si="5"/>
        <v>2B</v>
      </c>
    </row>
    <row r="50" spans="1:13" hidden="1" x14ac:dyDescent="0.25">
      <c r="A50" s="76">
        <v>49914</v>
      </c>
      <c r="B50" s="12" t="s">
        <v>293</v>
      </c>
      <c r="C50" s="66" t="s">
        <v>294</v>
      </c>
      <c r="D50" s="12" t="s">
        <v>586</v>
      </c>
      <c r="E50" s="12" t="s">
        <v>564</v>
      </c>
      <c r="F50" s="12" t="s">
        <v>295</v>
      </c>
      <c r="G50" s="12" t="s">
        <v>296</v>
      </c>
      <c r="H50" s="65">
        <v>4</v>
      </c>
      <c r="I50" s="65">
        <v>4</v>
      </c>
      <c r="J50" s="65">
        <v>4</v>
      </c>
      <c r="K50" s="65" t="str">
        <f t="shared" si="3"/>
        <v>Average</v>
      </c>
      <c r="L50" s="65" t="str">
        <f t="shared" si="4"/>
        <v>Medium</v>
      </c>
      <c r="M50" s="70" t="str">
        <f t="shared" si="5"/>
        <v>2B</v>
      </c>
    </row>
    <row r="51" spans="1:13" x14ac:dyDescent="0.25">
      <c r="A51" s="76">
        <v>4363</v>
      </c>
      <c r="B51" s="12" t="s">
        <v>152</v>
      </c>
      <c r="C51" s="66" t="s">
        <v>145</v>
      </c>
      <c r="D51" s="12" t="s">
        <v>586</v>
      </c>
      <c r="E51" s="12" t="s">
        <v>556</v>
      </c>
      <c r="F51" s="12" t="s">
        <v>113</v>
      </c>
      <c r="G51" s="12" t="s">
        <v>100</v>
      </c>
      <c r="H51" s="65">
        <v>5</v>
      </c>
      <c r="I51" s="65">
        <v>5</v>
      </c>
      <c r="J51" s="65">
        <v>5</v>
      </c>
      <c r="K51" s="65" t="str">
        <f t="shared" si="3"/>
        <v>High</v>
      </c>
      <c r="L51" s="65" t="str">
        <f t="shared" si="4"/>
        <v>High</v>
      </c>
      <c r="M51" s="70" t="str">
        <f t="shared" si="5"/>
        <v>3C</v>
      </c>
    </row>
    <row r="52" spans="1:13" hidden="1" x14ac:dyDescent="0.25">
      <c r="A52" s="76">
        <v>49623</v>
      </c>
      <c r="B52" s="12" t="s">
        <v>330</v>
      </c>
      <c r="C52" s="66" t="s">
        <v>331</v>
      </c>
      <c r="D52" s="12" t="s">
        <v>586</v>
      </c>
      <c r="E52" s="12" t="s">
        <v>558</v>
      </c>
      <c r="F52" s="12" t="s">
        <v>332</v>
      </c>
      <c r="G52" s="12" t="s">
        <v>333</v>
      </c>
      <c r="H52" s="65">
        <v>3.9</v>
      </c>
      <c r="I52" s="65">
        <v>4</v>
      </c>
      <c r="J52" s="65">
        <v>3.8</v>
      </c>
      <c r="K52" s="65" t="str">
        <f t="shared" si="3"/>
        <v>Average</v>
      </c>
      <c r="L52" s="65" t="str">
        <f t="shared" si="4"/>
        <v>Medium</v>
      </c>
      <c r="M52" s="70" t="str">
        <f t="shared" si="5"/>
        <v>2B</v>
      </c>
    </row>
    <row r="53" spans="1:13" x14ac:dyDescent="0.25">
      <c r="A53" s="76">
        <v>49401</v>
      </c>
      <c r="B53" s="12" t="s">
        <v>153</v>
      </c>
      <c r="C53" s="66" t="s">
        <v>154</v>
      </c>
      <c r="D53" s="12" t="s">
        <v>586</v>
      </c>
      <c r="E53" s="12" t="s">
        <v>556</v>
      </c>
      <c r="F53" s="12" t="s">
        <v>141</v>
      </c>
      <c r="G53" s="12" t="s">
        <v>155</v>
      </c>
      <c r="H53" s="65">
        <v>3.9</v>
      </c>
      <c r="I53" s="65">
        <v>3.8</v>
      </c>
      <c r="J53" s="65">
        <v>4</v>
      </c>
      <c r="K53" s="65" t="str">
        <f t="shared" si="3"/>
        <v>Average</v>
      </c>
      <c r="L53" s="65" t="str">
        <f t="shared" si="4"/>
        <v>Medium</v>
      </c>
      <c r="M53" s="70" t="str">
        <f t="shared" si="5"/>
        <v>2B</v>
      </c>
    </row>
    <row r="54" spans="1:13" hidden="1" x14ac:dyDescent="0.25">
      <c r="A54" s="76">
        <v>10325</v>
      </c>
      <c r="B54" s="12" t="s">
        <v>174</v>
      </c>
      <c r="C54" s="66" t="s">
        <v>175</v>
      </c>
      <c r="D54" s="12" t="s">
        <v>586</v>
      </c>
      <c r="E54" s="12" t="s">
        <v>560</v>
      </c>
      <c r="F54" s="12" t="s">
        <v>176</v>
      </c>
      <c r="G54" s="12" t="s">
        <v>177</v>
      </c>
      <c r="H54" s="65">
        <v>3.4</v>
      </c>
      <c r="I54" s="65">
        <v>3.5</v>
      </c>
      <c r="J54" s="65">
        <v>3.2</v>
      </c>
      <c r="K54" s="65" t="str">
        <f t="shared" si="3"/>
        <v>Average</v>
      </c>
      <c r="L54" s="65" t="str">
        <f t="shared" si="4"/>
        <v>Medium</v>
      </c>
      <c r="M54" s="70" t="str">
        <f t="shared" si="5"/>
        <v>2B</v>
      </c>
    </row>
    <row r="55" spans="1:13" hidden="1" x14ac:dyDescent="0.25">
      <c r="A55" s="76">
        <v>50717</v>
      </c>
      <c r="B55" s="12" t="s">
        <v>297</v>
      </c>
      <c r="C55" s="66" t="s">
        <v>298</v>
      </c>
      <c r="D55" s="12" t="s">
        <v>585</v>
      </c>
      <c r="E55" s="12" t="s">
        <v>564</v>
      </c>
      <c r="F55" s="12" t="s">
        <v>299</v>
      </c>
      <c r="G55" s="12" t="s">
        <v>296</v>
      </c>
      <c r="H55" s="65">
        <v>4</v>
      </c>
      <c r="I55" s="65">
        <v>0</v>
      </c>
      <c r="J55" s="65">
        <v>4</v>
      </c>
      <c r="K55" s="65" t="str">
        <f t="shared" si="3"/>
        <v>Average</v>
      </c>
      <c r="L55" s="65" t="str">
        <f t="shared" si="4"/>
        <v>Medium</v>
      </c>
      <c r="M55" s="70" t="str">
        <f t="shared" si="5"/>
        <v>2B</v>
      </c>
    </row>
    <row r="56" spans="1:13" hidden="1" x14ac:dyDescent="0.25">
      <c r="A56" s="76">
        <v>6659</v>
      </c>
      <c r="B56" s="12" t="s">
        <v>30</v>
      </c>
      <c r="C56" s="66" t="s">
        <v>31</v>
      </c>
      <c r="D56" s="12" t="s">
        <v>587</v>
      </c>
      <c r="E56" s="12" t="s">
        <v>589</v>
      </c>
      <c r="F56" s="12" t="s">
        <v>32</v>
      </c>
      <c r="G56" s="12" t="s">
        <v>23</v>
      </c>
      <c r="H56" s="65">
        <v>3.3</v>
      </c>
      <c r="I56" s="65">
        <v>3.2</v>
      </c>
      <c r="J56" s="65">
        <v>3.3</v>
      </c>
      <c r="K56" s="65" t="str">
        <f t="shared" si="3"/>
        <v>Poor</v>
      </c>
      <c r="L56" s="65" t="str">
        <f t="shared" si="4"/>
        <v>Medium</v>
      </c>
      <c r="M56" s="70" t="str">
        <f t="shared" si="5"/>
        <v>2A</v>
      </c>
    </row>
    <row r="57" spans="1:13" hidden="1" x14ac:dyDescent="0.25">
      <c r="A57" s="76">
        <v>50295</v>
      </c>
      <c r="B57" s="12" t="s">
        <v>334</v>
      </c>
      <c r="C57" s="66" t="s">
        <v>335</v>
      </c>
      <c r="D57" s="12" t="s">
        <v>586</v>
      </c>
      <c r="E57" s="12" t="s">
        <v>558</v>
      </c>
      <c r="F57" s="12" t="s">
        <v>336</v>
      </c>
      <c r="G57" s="12" t="s">
        <v>316</v>
      </c>
      <c r="H57" s="65">
        <v>3.8</v>
      </c>
      <c r="I57" s="65">
        <v>3.6</v>
      </c>
      <c r="J57" s="65">
        <v>4</v>
      </c>
      <c r="K57" s="65" t="str">
        <f t="shared" si="3"/>
        <v>Average</v>
      </c>
      <c r="L57" s="65" t="str">
        <f t="shared" si="4"/>
        <v>Medium</v>
      </c>
      <c r="M57" s="70" t="str">
        <f t="shared" si="5"/>
        <v>2B</v>
      </c>
    </row>
    <row r="58" spans="1:13" x14ac:dyDescent="0.25">
      <c r="A58" s="76">
        <v>48804</v>
      </c>
      <c r="B58" s="12" t="s">
        <v>105</v>
      </c>
      <c r="C58" s="66" t="s">
        <v>106</v>
      </c>
      <c r="D58" s="12" t="s">
        <v>585</v>
      </c>
      <c r="E58" s="12" t="s">
        <v>556</v>
      </c>
      <c r="F58" s="12" t="s">
        <v>99</v>
      </c>
      <c r="G58" s="12" t="s">
        <v>107</v>
      </c>
      <c r="H58" s="65">
        <v>4.8</v>
      </c>
      <c r="I58" s="65">
        <v>4.8</v>
      </c>
      <c r="J58" s="65">
        <v>4.7</v>
      </c>
      <c r="K58" s="65" t="str">
        <f t="shared" si="3"/>
        <v>High</v>
      </c>
      <c r="L58" s="65" t="str">
        <f t="shared" si="4"/>
        <v>High</v>
      </c>
      <c r="M58" s="70" t="str">
        <f t="shared" si="5"/>
        <v>3C</v>
      </c>
    </row>
    <row r="59" spans="1:13" hidden="1" x14ac:dyDescent="0.25">
      <c r="A59" s="76">
        <v>49495</v>
      </c>
      <c r="B59" s="12" t="s">
        <v>177</v>
      </c>
      <c r="C59" s="66" t="s">
        <v>414</v>
      </c>
      <c r="D59" s="12" t="s">
        <v>586</v>
      </c>
      <c r="E59" s="12" t="s">
        <v>560</v>
      </c>
      <c r="F59" s="12" t="s">
        <v>415</v>
      </c>
      <c r="G59" s="12" t="s">
        <v>413</v>
      </c>
      <c r="H59" s="65">
        <v>3.8</v>
      </c>
      <c r="I59" s="65">
        <v>3.8</v>
      </c>
      <c r="J59" s="65">
        <v>3.8</v>
      </c>
      <c r="K59" s="65" t="str">
        <f t="shared" si="3"/>
        <v>Average</v>
      </c>
      <c r="L59" s="65" t="str">
        <f t="shared" si="4"/>
        <v>Medium</v>
      </c>
      <c r="M59" s="70" t="str">
        <f t="shared" si="5"/>
        <v>2B</v>
      </c>
    </row>
    <row r="60" spans="1:13" x14ac:dyDescent="0.25">
      <c r="A60" s="76">
        <v>47687</v>
      </c>
      <c r="B60" s="12" t="s">
        <v>156</v>
      </c>
      <c r="C60" s="66" t="s">
        <v>157</v>
      </c>
      <c r="D60" s="12" t="s">
        <v>586</v>
      </c>
      <c r="E60" s="12" t="s">
        <v>556</v>
      </c>
      <c r="F60" s="12" t="s">
        <v>158</v>
      </c>
      <c r="G60" s="12" t="s">
        <v>138</v>
      </c>
      <c r="H60" s="65">
        <v>3.6</v>
      </c>
      <c r="I60" s="65">
        <v>3.4</v>
      </c>
      <c r="J60" s="65">
        <v>3.7</v>
      </c>
      <c r="K60" s="65" t="str">
        <f t="shared" si="3"/>
        <v>Average</v>
      </c>
      <c r="L60" s="65" t="str">
        <f t="shared" si="4"/>
        <v>Medium</v>
      </c>
      <c r="M60" s="70" t="str">
        <f t="shared" si="5"/>
        <v>2B</v>
      </c>
    </row>
    <row r="61" spans="1:13" x14ac:dyDescent="0.25">
      <c r="A61" s="76">
        <v>47515</v>
      </c>
      <c r="B61" s="12" t="s">
        <v>66</v>
      </c>
      <c r="C61" s="66" t="s">
        <v>67</v>
      </c>
      <c r="D61" s="12" t="s">
        <v>587</v>
      </c>
      <c r="E61" s="12" t="s">
        <v>559</v>
      </c>
      <c r="F61" s="12" t="s">
        <v>54</v>
      </c>
      <c r="G61" s="12" t="s">
        <v>55</v>
      </c>
      <c r="H61" s="65">
        <v>3.7</v>
      </c>
      <c r="I61" s="65">
        <v>3.8</v>
      </c>
      <c r="J61" s="65">
        <v>3.5</v>
      </c>
      <c r="K61" s="65" t="str">
        <f t="shared" si="3"/>
        <v>Average</v>
      </c>
      <c r="L61" s="65" t="str">
        <f t="shared" si="4"/>
        <v>Medium</v>
      </c>
      <c r="M61" s="70" t="str">
        <f t="shared" si="5"/>
        <v>2B</v>
      </c>
    </row>
    <row r="62" spans="1:13" hidden="1" x14ac:dyDescent="0.25">
      <c r="A62" s="76">
        <v>47875</v>
      </c>
      <c r="B62" s="12" t="s">
        <v>197</v>
      </c>
      <c r="C62" s="66" t="s">
        <v>198</v>
      </c>
      <c r="D62" s="12" t="s">
        <v>587</v>
      </c>
      <c r="E62" s="12" t="s">
        <v>591</v>
      </c>
      <c r="F62" s="12" t="s">
        <v>199</v>
      </c>
      <c r="G62" s="12" t="s">
        <v>200</v>
      </c>
      <c r="H62" s="65">
        <v>3</v>
      </c>
      <c r="I62" s="65">
        <v>3</v>
      </c>
      <c r="J62" s="65">
        <v>3</v>
      </c>
      <c r="K62" s="65" t="str">
        <f t="shared" si="3"/>
        <v>Poor</v>
      </c>
      <c r="L62" s="65" t="str">
        <f t="shared" si="4"/>
        <v>Medium</v>
      </c>
      <c r="M62" s="70" t="str">
        <f t="shared" si="5"/>
        <v>2A</v>
      </c>
    </row>
    <row r="63" spans="1:13" x14ac:dyDescent="0.25">
      <c r="A63" s="76">
        <v>49925</v>
      </c>
      <c r="B63" s="12" t="s">
        <v>68</v>
      </c>
      <c r="C63" s="66" t="s">
        <v>60</v>
      </c>
      <c r="D63" s="12" t="s">
        <v>587</v>
      </c>
      <c r="E63" s="12" t="s">
        <v>559</v>
      </c>
      <c r="F63" s="12" t="s">
        <v>61</v>
      </c>
      <c r="G63" s="12" t="s">
        <v>69</v>
      </c>
      <c r="H63" s="65">
        <v>4.2</v>
      </c>
      <c r="I63" s="65">
        <v>4.3</v>
      </c>
      <c r="J63" s="65">
        <v>4</v>
      </c>
      <c r="K63" s="65" t="str">
        <f t="shared" si="3"/>
        <v>Average</v>
      </c>
      <c r="L63" s="65" t="str">
        <f t="shared" si="4"/>
        <v>Medium</v>
      </c>
      <c r="M63" s="70" t="str">
        <f t="shared" si="5"/>
        <v>2B</v>
      </c>
    </row>
    <row r="64" spans="1:13" x14ac:dyDescent="0.25">
      <c r="A64" s="76">
        <v>31252</v>
      </c>
      <c r="B64" s="12" t="s">
        <v>110</v>
      </c>
      <c r="C64" s="66" t="s">
        <v>399</v>
      </c>
      <c r="D64" s="12" t="s">
        <v>585</v>
      </c>
      <c r="E64" s="12" t="s">
        <v>556</v>
      </c>
      <c r="F64" s="12" t="s">
        <v>400</v>
      </c>
      <c r="G64" s="12" t="s">
        <v>401</v>
      </c>
      <c r="H64" s="65">
        <v>4.0999999999999996</v>
      </c>
      <c r="I64" s="65">
        <v>3.7</v>
      </c>
      <c r="J64" s="65">
        <v>4.5</v>
      </c>
      <c r="K64" s="65" t="str">
        <f t="shared" si="3"/>
        <v>Average</v>
      </c>
      <c r="L64" s="65" t="str">
        <f t="shared" si="4"/>
        <v>High</v>
      </c>
      <c r="M64" s="70" t="str">
        <f t="shared" si="5"/>
        <v>3B</v>
      </c>
    </row>
    <row r="65" spans="1:13" x14ac:dyDescent="0.25">
      <c r="A65" s="76">
        <v>31253</v>
      </c>
      <c r="B65" s="12" t="s">
        <v>108</v>
      </c>
      <c r="C65" s="66" t="s">
        <v>109</v>
      </c>
      <c r="D65" s="12" t="s">
        <v>585</v>
      </c>
      <c r="E65" s="12" t="s">
        <v>556</v>
      </c>
      <c r="F65" s="12" t="s">
        <v>99</v>
      </c>
      <c r="G65" s="12" t="s">
        <v>110</v>
      </c>
      <c r="H65" s="65">
        <v>4.7</v>
      </c>
      <c r="I65" s="65">
        <v>4.9000000000000004</v>
      </c>
      <c r="J65" s="65">
        <v>4.5</v>
      </c>
      <c r="K65" s="65" t="str">
        <f t="shared" si="3"/>
        <v>High</v>
      </c>
      <c r="L65" s="65" t="str">
        <f t="shared" si="4"/>
        <v>High</v>
      </c>
      <c r="M65" s="70" t="str">
        <f t="shared" si="5"/>
        <v>3C</v>
      </c>
    </row>
    <row r="66" spans="1:13" hidden="1" x14ac:dyDescent="0.25">
      <c r="A66" s="76">
        <v>48344</v>
      </c>
      <c r="B66" s="12" t="s">
        <v>222</v>
      </c>
      <c r="C66" s="66" t="s">
        <v>223</v>
      </c>
      <c r="D66" s="12" t="s">
        <v>586</v>
      </c>
      <c r="E66" s="12" t="s">
        <v>591</v>
      </c>
      <c r="F66" s="12" t="s">
        <v>224</v>
      </c>
      <c r="G66" s="12" t="s">
        <v>225</v>
      </c>
      <c r="H66" s="65">
        <v>3.4</v>
      </c>
      <c r="I66" s="65">
        <v>3.5</v>
      </c>
      <c r="J66" s="65">
        <v>3.3</v>
      </c>
      <c r="K66" s="65" t="str">
        <f t="shared" si="3"/>
        <v>Average</v>
      </c>
      <c r="L66" s="65" t="str">
        <f t="shared" si="4"/>
        <v>Medium</v>
      </c>
      <c r="M66" s="70" t="str">
        <f t="shared" si="5"/>
        <v>2B</v>
      </c>
    </row>
    <row r="67" spans="1:13" x14ac:dyDescent="0.25">
      <c r="A67" s="76">
        <v>48090</v>
      </c>
      <c r="B67" s="12" t="s">
        <v>70</v>
      </c>
      <c r="C67" s="66" t="s">
        <v>71</v>
      </c>
      <c r="D67" s="12" t="s">
        <v>587</v>
      </c>
      <c r="E67" s="12" t="s">
        <v>559</v>
      </c>
      <c r="F67" s="12" t="s">
        <v>61</v>
      </c>
      <c r="G67" s="12" t="s">
        <v>72</v>
      </c>
      <c r="H67" s="65">
        <v>4</v>
      </c>
      <c r="I67" s="65">
        <v>3.8</v>
      </c>
      <c r="J67" s="65">
        <v>4.2</v>
      </c>
      <c r="K67" s="65" t="str">
        <f t="shared" si="3"/>
        <v>Average</v>
      </c>
      <c r="L67" s="65" t="str">
        <f t="shared" si="4"/>
        <v>Medium</v>
      </c>
      <c r="M67" s="70" t="str">
        <f t="shared" si="5"/>
        <v>2B</v>
      </c>
    </row>
    <row r="68" spans="1:13" hidden="1" x14ac:dyDescent="0.25">
      <c r="A68" s="76">
        <v>6606</v>
      </c>
      <c r="B68" s="12" t="s">
        <v>33</v>
      </c>
      <c r="C68" s="66" t="s">
        <v>25</v>
      </c>
      <c r="D68" s="12" t="s">
        <v>587</v>
      </c>
      <c r="E68" s="12" t="s">
        <v>589</v>
      </c>
      <c r="F68" s="12" t="s">
        <v>22</v>
      </c>
      <c r="G68" s="12" t="s">
        <v>23</v>
      </c>
      <c r="H68" s="65">
        <v>3.2</v>
      </c>
      <c r="I68" s="65">
        <v>3.3</v>
      </c>
      <c r="J68" s="65">
        <v>3</v>
      </c>
      <c r="K68" s="65" t="str">
        <f t="shared" si="3"/>
        <v>Poor</v>
      </c>
      <c r="L68" s="65" t="str">
        <f t="shared" si="4"/>
        <v>Medium</v>
      </c>
      <c r="M68" s="70" t="str">
        <f t="shared" si="5"/>
        <v>2A</v>
      </c>
    </row>
    <row r="69" spans="1:13" hidden="1" x14ac:dyDescent="0.25">
      <c r="A69" s="76">
        <v>49191</v>
      </c>
      <c r="B69" s="12" t="s">
        <v>268</v>
      </c>
      <c r="C69" s="66" t="s">
        <v>269</v>
      </c>
      <c r="D69" s="12" t="s">
        <v>585</v>
      </c>
      <c r="E69" s="12" t="s">
        <v>595</v>
      </c>
      <c r="F69" s="12" t="s">
        <v>270</v>
      </c>
      <c r="G69" s="12" t="s">
        <v>271</v>
      </c>
      <c r="H69" s="65">
        <v>4.7</v>
      </c>
      <c r="I69" s="65">
        <v>5</v>
      </c>
      <c r="J69" s="65">
        <v>4.3</v>
      </c>
      <c r="K69" s="65" t="str">
        <f t="shared" si="3"/>
        <v>High</v>
      </c>
      <c r="L69" s="65" t="str">
        <f t="shared" si="4"/>
        <v>Medium</v>
      </c>
      <c r="M69" s="70" t="str">
        <f t="shared" si="5"/>
        <v>2C</v>
      </c>
    </row>
    <row r="70" spans="1:13" hidden="1" x14ac:dyDescent="0.25">
      <c r="A70" s="76">
        <v>10318</v>
      </c>
      <c r="B70" s="12" t="s">
        <v>337</v>
      </c>
      <c r="C70" s="66" t="s">
        <v>338</v>
      </c>
      <c r="D70" s="12" t="s">
        <v>586</v>
      </c>
      <c r="E70" s="12" t="s">
        <v>558</v>
      </c>
      <c r="F70" s="12" t="s">
        <v>315</v>
      </c>
      <c r="G70" s="12" t="s">
        <v>316</v>
      </c>
      <c r="H70" s="65">
        <v>3.7</v>
      </c>
      <c r="I70" s="65">
        <v>3.6</v>
      </c>
      <c r="J70" s="65">
        <v>3.7</v>
      </c>
      <c r="K70" s="65" t="str">
        <f t="shared" si="3"/>
        <v>Average</v>
      </c>
      <c r="L70" s="65" t="str">
        <f t="shared" si="4"/>
        <v>Medium</v>
      </c>
      <c r="M70" s="70" t="str">
        <f t="shared" si="5"/>
        <v>2B</v>
      </c>
    </row>
    <row r="71" spans="1:13" x14ac:dyDescent="0.25">
      <c r="A71" s="76">
        <v>31251</v>
      </c>
      <c r="B71" s="12" t="s">
        <v>111</v>
      </c>
      <c r="C71" s="66" t="s">
        <v>112</v>
      </c>
      <c r="D71" s="12" t="s">
        <v>585</v>
      </c>
      <c r="E71" s="12" t="s">
        <v>556</v>
      </c>
      <c r="F71" s="12" t="s">
        <v>113</v>
      </c>
      <c r="G71" s="12" t="s">
        <v>104</v>
      </c>
      <c r="H71" s="65">
        <v>4.2</v>
      </c>
      <c r="I71" s="65">
        <v>4.0999999999999996</v>
      </c>
      <c r="J71" s="65">
        <v>4.3</v>
      </c>
      <c r="K71" s="65" t="str">
        <f t="shared" si="3"/>
        <v>Average</v>
      </c>
      <c r="L71" s="65" t="str">
        <f t="shared" si="4"/>
        <v>Medium</v>
      </c>
      <c r="M71" s="70" t="str">
        <f t="shared" si="5"/>
        <v>2B</v>
      </c>
    </row>
    <row r="72" spans="1:13" x14ac:dyDescent="0.25">
      <c r="A72" s="76">
        <v>31291</v>
      </c>
      <c r="B72" s="12" t="s">
        <v>127</v>
      </c>
      <c r="C72" s="66" t="s">
        <v>145</v>
      </c>
      <c r="D72" s="12" t="s">
        <v>585</v>
      </c>
      <c r="E72" s="12" t="s">
        <v>556</v>
      </c>
      <c r="F72" s="12" t="s">
        <v>406</v>
      </c>
      <c r="G72" s="12" t="s">
        <v>401</v>
      </c>
      <c r="H72" s="65">
        <v>4.0999999999999996</v>
      </c>
      <c r="I72" s="65">
        <v>4.3</v>
      </c>
      <c r="J72" s="65">
        <v>3.8</v>
      </c>
      <c r="K72" s="65" t="str">
        <f t="shared" si="3"/>
        <v>Average</v>
      </c>
      <c r="L72" s="65" t="str">
        <f t="shared" si="4"/>
        <v>Medium</v>
      </c>
      <c r="M72" s="70" t="str">
        <f t="shared" si="5"/>
        <v>2B</v>
      </c>
    </row>
    <row r="73" spans="1:13" x14ac:dyDescent="0.25">
      <c r="A73" s="76">
        <v>47618</v>
      </c>
      <c r="B73" s="12" t="s">
        <v>52</v>
      </c>
      <c r="C73" s="66" t="s">
        <v>388</v>
      </c>
      <c r="D73" s="12" t="s">
        <v>587</v>
      </c>
      <c r="E73" s="12" t="s">
        <v>559</v>
      </c>
      <c r="F73" s="12" t="s">
        <v>389</v>
      </c>
      <c r="G73" s="12" t="s">
        <v>65</v>
      </c>
      <c r="H73" s="65">
        <v>4</v>
      </c>
      <c r="I73" s="65">
        <v>4</v>
      </c>
      <c r="J73" s="65">
        <v>4</v>
      </c>
      <c r="K73" s="65" t="str">
        <f t="shared" si="3"/>
        <v>Average</v>
      </c>
      <c r="L73" s="65" t="str">
        <f t="shared" si="4"/>
        <v>Medium</v>
      </c>
      <c r="M73" s="70" t="str">
        <f t="shared" si="5"/>
        <v>2B</v>
      </c>
    </row>
    <row r="74" spans="1:13" hidden="1" x14ac:dyDescent="0.25">
      <c r="A74" s="76">
        <v>10859</v>
      </c>
      <c r="B74" s="12" t="s">
        <v>225</v>
      </c>
      <c r="C74" s="66" t="s">
        <v>438</v>
      </c>
      <c r="D74" s="12" t="s">
        <v>586</v>
      </c>
      <c r="E74" s="12" t="s">
        <v>591</v>
      </c>
      <c r="F74" s="12" t="s">
        <v>439</v>
      </c>
      <c r="G74" s="12" t="s">
        <v>382</v>
      </c>
      <c r="H74" s="65">
        <v>4.8</v>
      </c>
      <c r="I74" s="65">
        <v>4.8</v>
      </c>
      <c r="J74" s="65">
        <v>4.8</v>
      </c>
      <c r="K74" s="65" t="str">
        <f t="shared" si="3"/>
        <v>High</v>
      </c>
      <c r="L74" s="65" t="str">
        <f t="shared" si="4"/>
        <v>High</v>
      </c>
      <c r="M74" s="70" t="str">
        <f t="shared" si="5"/>
        <v>3C</v>
      </c>
    </row>
    <row r="75" spans="1:13" hidden="1" x14ac:dyDescent="0.25">
      <c r="A75" s="76">
        <v>50495</v>
      </c>
      <c r="B75" s="12" t="s">
        <v>34</v>
      </c>
      <c r="C75" s="66" t="s">
        <v>35</v>
      </c>
      <c r="D75" s="12" t="s">
        <v>585</v>
      </c>
      <c r="E75" s="12" t="s">
        <v>589</v>
      </c>
      <c r="F75" s="12" t="s">
        <v>36</v>
      </c>
      <c r="G75" s="12" t="s">
        <v>15</v>
      </c>
      <c r="H75" s="65">
        <v>3.4</v>
      </c>
      <c r="I75" s="65">
        <v>3.3</v>
      </c>
      <c r="J75" s="65">
        <v>3.5</v>
      </c>
      <c r="K75" s="65" t="str">
        <f t="shared" si="3"/>
        <v>Average</v>
      </c>
      <c r="L75" s="65" t="str">
        <f t="shared" si="4"/>
        <v>Medium</v>
      </c>
      <c r="M75" s="70" t="str">
        <f t="shared" si="5"/>
        <v>2B</v>
      </c>
    </row>
    <row r="76" spans="1:13" hidden="1" x14ac:dyDescent="0.25">
      <c r="A76" s="76">
        <v>10825</v>
      </c>
      <c r="B76" s="12" t="s">
        <v>254</v>
      </c>
      <c r="C76" s="66" t="s">
        <v>255</v>
      </c>
      <c r="D76" s="12" t="s">
        <v>586</v>
      </c>
      <c r="E76" s="12" t="s">
        <v>591</v>
      </c>
      <c r="F76" s="12" t="s">
        <v>249</v>
      </c>
      <c r="G76" s="12" t="s">
        <v>250</v>
      </c>
      <c r="H76" s="65">
        <v>4.4000000000000004</v>
      </c>
      <c r="I76" s="65">
        <v>4</v>
      </c>
      <c r="J76" s="65">
        <v>4.8</v>
      </c>
      <c r="K76" s="65" t="str">
        <f t="shared" si="3"/>
        <v>High</v>
      </c>
      <c r="L76" s="65" t="str">
        <f t="shared" si="4"/>
        <v>High</v>
      </c>
      <c r="M76" s="70" t="str">
        <f t="shared" si="5"/>
        <v>3C</v>
      </c>
    </row>
    <row r="77" spans="1:13" x14ac:dyDescent="0.25">
      <c r="A77" s="76">
        <v>50029</v>
      </c>
      <c r="B77" s="12" t="s">
        <v>114</v>
      </c>
      <c r="C77" s="66" t="s">
        <v>115</v>
      </c>
      <c r="D77" s="12" t="s">
        <v>585</v>
      </c>
      <c r="E77" s="12" t="s">
        <v>556</v>
      </c>
      <c r="F77" s="12" t="s">
        <v>116</v>
      </c>
      <c r="G77" s="12" t="s">
        <v>117</v>
      </c>
      <c r="H77" s="65">
        <v>4.0999999999999996</v>
      </c>
      <c r="I77" s="65">
        <v>4</v>
      </c>
      <c r="J77" s="65">
        <v>4.2</v>
      </c>
      <c r="K77" s="65" t="str">
        <f t="shared" si="3"/>
        <v>Average</v>
      </c>
      <c r="L77" s="65" t="str">
        <f t="shared" si="4"/>
        <v>Medium</v>
      </c>
      <c r="M77" s="70" t="str">
        <f t="shared" si="5"/>
        <v>2B</v>
      </c>
    </row>
    <row r="78" spans="1:13" hidden="1" x14ac:dyDescent="0.25">
      <c r="A78" s="76">
        <v>49298</v>
      </c>
      <c r="B78" s="12" t="s">
        <v>275</v>
      </c>
      <c r="C78" s="66" t="s">
        <v>450</v>
      </c>
      <c r="D78" s="12" t="s">
        <v>585</v>
      </c>
      <c r="E78" s="12" t="s">
        <v>595</v>
      </c>
      <c r="F78" s="12" t="s">
        <v>451</v>
      </c>
      <c r="G78" s="12" t="s">
        <v>271</v>
      </c>
      <c r="H78" s="65">
        <v>5</v>
      </c>
      <c r="I78" s="65">
        <v>5</v>
      </c>
      <c r="J78" s="65">
        <v>5</v>
      </c>
      <c r="K78" s="65" t="str">
        <f t="shared" ref="K78:K109" si="6">IF(H78="","",
IF(OR(H78="NR",H78="NA"),"NA",
IF(H78&lt;$K$4,$J$4,
IF(H78&lt;$K$5,$J$5,$J$6)
)))</f>
        <v>High</v>
      </c>
      <c r="L78" s="65" t="str">
        <f t="shared" ref="L78:L109" si="7">IF(J78="","",
IF(OR(J78="NR",J78="NA"),"NA",
IF(J78&lt;$N$4,$M$4,
IF(J78&lt;$N$5,$M$5,$M$6)
)))</f>
        <v>High</v>
      </c>
      <c r="M78" s="70" t="str">
        <f t="shared" ref="M78:M109" si="8">IF(OR(K78="",L78=""),"",
IF(AND(K78=$J$6,L78=$M$6),"3C",
IF(AND(K78=$J$5,L78=$M$6),"3B",
IF(AND(K78=$J$4,L78=$M$6),"3A",
IF(AND(K78=$J$6,L78=$M$5),"2C",
IF(AND(K78=$J$5,L78=$M$5),"2B",
IF(AND(K78=$J$4,L78=$M$5),"2A",
IF(AND(K78=$J$6,L78=$M$4),"1C",
IF(AND(K78=$J$5,L78=$M$4),"1B",
IF(AND(K78=$J$4,L78=$M$4),"1A","")
)))))))))</f>
        <v>3C</v>
      </c>
    </row>
    <row r="79" spans="1:13" x14ac:dyDescent="0.25">
      <c r="A79" s="76">
        <v>49496</v>
      </c>
      <c r="B79" s="12" t="s">
        <v>159</v>
      </c>
      <c r="C79" s="66" t="s">
        <v>160</v>
      </c>
      <c r="D79" s="12" t="s">
        <v>586</v>
      </c>
      <c r="E79" s="12" t="s">
        <v>556</v>
      </c>
      <c r="F79" s="12" t="s">
        <v>137</v>
      </c>
      <c r="G79" s="12" t="s">
        <v>138</v>
      </c>
      <c r="H79" s="65">
        <v>4</v>
      </c>
      <c r="I79" s="65">
        <v>4</v>
      </c>
      <c r="J79" s="65">
        <v>4</v>
      </c>
      <c r="K79" s="65" t="str">
        <f t="shared" si="6"/>
        <v>Average</v>
      </c>
      <c r="L79" s="65" t="str">
        <f t="shared" si="7"/>
        <v>Medium</v>
      </c>
      <c r="M79" s="70" t="str">
        <f t="shared" si="8"/>
        <v>2B</v>
      </c>
    </row>
    <row r="80" spans="1:13" x14ac:dyDescent="0.25">
      <c r="A80" s="76">
        <v>30967</v>
      </c>
      <c r="B80" s="12" t="s">
        <v>118</v>
      </c>
      <c r="C80" s="66" t="s">
        <v>119</v>
      </c>
      <c r="D80" s="12" t="s">
        <v>585</v>
      </c>
      <c r="E80" s="12" t="s">
        <v>556</v>
      </c>
      <c r="F80" s="12" t="s">
        <v>120</v>
      </c>
      <c r="G80" s="12" t="s">
        <v>121</v>
      </c>
      <c r="H80" s="65">
        <v>4.8</v>
      </c>
      <c r="I80" s="65">
        <v>4.8</v>
      </c>
      <c r="J80" s="65">
        <v>4.8</v>
      </c>
      <c r="K80" s="65" t="str">
        <f t="shared" si="6"/>
        <v>High</v>
      </c>
      <c r="L80" s="65" t="str">
        <f t="shared" si="7"/>
        <v>High</v>
      </c>
      <c r="M80" s="70" t="str">
        <f t="shared" si="8"/>
        <v>3C</v>
      </c>
    </row>
    <row r="81" spans="1:13" x14ac:dyDescent="0.25">
      <c r="A81" s="76">
        <v>48373</v>
      </c>
      <c r="B81" s="12" t="s">
        <v>161</v>
      </c>
      <c r="C81" s="66" t="s">
        <v>162</v>
      </c>
      <c r="D81" s="12" t="s">
        <v>585</v>
      </c>
      <c r="E81" s="12" t="s">
        <v>556</v>
      </c>
      <c r="F81" s="12" t="s">
        <v>116</v>
      </c>
      <c r="G81" s="12" t="s">
        <v>117</v>
      </c>
      <c r="H81" s="65">
        <v>4.0999999999999996</v>
      </c>
      <c r="I81" s="65">
        <v>4.0999999999999996</v>
      </c>
      <c r="J81" s="65">
        <v>4</v>
      </c>
      <c r="K81" s="65" t="str">
        <f t="shared" si="6"/>
        <v>Average</v>
      </c>
      <c r="L81" s="65" t="str">
        <f t="shared" si="7"/>
        <v>Medium</v>
      </c>
      <c r="M81" s="70" t="str">
        <f t="shared" si="8"/>
        <v>2B</v>
      </c>
    </row>
    <row r="82" spans="1:13" x14ac:dyDescent="0.25">
      <c r="A82" s="76">
        <v>51097</v>
      </c>
      <c r="B82" s="12" t="s">
        <v>73</v>
      </c>
      <c r="C82" s="66" t="s">
        <v>74</v>
      </c>
      <c r="D82" s="12" t="s">
        <v>587</v>
      </c>
      <c r="E82" s="12" t="s">
        <v>559</v>
      </c>
      <c r="F82" s="12" t="s">
        <v>75</v>
      </c>
      <c r="G82" s="12" t="s">
        <v>76</v>
      </c>
      <c r="H82" s="65" t="s">
        <v>19</v>
      </c>
      <c r="I82" s="65"/>
      <c r="J82" s="65" t="s">
        <v>19</v>
      </c>
      <c r="K82" s="65" t="str">
        <f t="shared" si="6"/>
        <v>NA</v>
      </c>
      <c r="L82" s="65" t="str">
        <f t="shared" si="7"/>
        <v>NA</v>
      </c>
      <c r="M82" s="70" t="str">
        <f t="shared" si="8"/>
        <v/>
      </c>
    </row>
    <row r="83" spans="1:13" hidden="1" x14ac:dyDescent="0.25">
      <c r="A83" s="76">
        <v>48484</v>
      </c>
      <c r="B83" s="12" t="s">
        <v>413</v>
      </c>
      <c r="C83" s="66" t="s">
        <v>416</v>
      </c>
      <c r="D83" s="12" t="s">
        <v>586</v>
      </c>
      <c r="E83" s="12" t="s">
        <v>560</v>
      </c>
      <c r="F83" s="12" t="s">
        <v>417</v>
      </c>
      <c r="G83" s="12" t="s">
        <v>151</v>
      </c>
      <c r="H83" s="65">
        <v>5</v>
      </c>
      <c r="I83" s="65">
        <v>5</v>
      </c>
      <c r="J83" s="65">
        <v>5</v>
      </c>
      <c r="K83" s="65" t="str">
        <f t="shared" si="6"/>
        <v>High</v>
      </c>
      <c r="L83" s="65" t="str">
        <f t="shared" si="7"/>
        <v>High</v>
      </c>
      <c r="M83" s="70" t="str">
        <f t="shared" si="8"/>
        <v>3C</v>
      </c>
    </row>
    <row r="84" spans="1:13" hidden="1" x14ac:dyDescent="0.25">
      <c r="A84" s="76">
        <v>49540</v>
      </c>
      <c r="B84" s="12" t="s">
        <v>201</v>
      </c>
      <c r="C84" s="66" t="s">
        <v>202</v>
      </c>
      <c r="D84" s="12" t="s">
        <v>587</v>
      </c>
      <c r="E84" s="12" t="s">
        <v>591</v>
      </c>
      <c r="F84" s="12" t="s">
        <v>199</v>
      </c>
      <c r="G84" s="12" t="s">
        <v>200</v>
      </c>
      <c r="H84" s="65">
        <v>3</v>
      </c>
      <c r="I84" s="65">
        <v>3</v>
      </c>
      <c r="J84" s="65">
        <v>3</v>
      </c>
      <c r="K84" s="65" t="str">
        <f t="shared" si="6"/>
        <v>Poor</v>
      </c>
      <c r="L84" s="65" t="str">
        <f t="shared" si="7"/>
        <v>Medium</v>
      </c>
      <c r="M84" s="70" t="str">
        <f t="shared" si="8"/>
        <v>2A</v>
      </c>
    </row>
    <row r="85" spans="1:13" hidden="1" x14ac:dyDescent="0.25">
      <c r="A85" s="76">
        <v>31248</v>
      </c>
      <c r="B85" s="12" t="s">
        <v>219</v>
      </c>
      <c r="C85" s="66" t="s">
        <v>220</v>
      </c>
      <c r="D85" s="12" t="s">
        <v>585</v>
      </c>
      <c r="E85" s="12" t="s">
        <v>591</v>
      </c>
      <c r="F85" s="12" t="s">
        <v>221</v>
      </c>
      <c r="G85" s="12" t="s">
        <v>196</v>
      </c>
      <c r="H85" s="65">
        <v>3.1</v>
      </c>
      <c r="I85" s="65">
        <v>3.2</v>
      </c>
      <c r="J85" s="65">
        <v>3</v>
      </c>
      <c r="K85" s="65" t="str">
        <f t="shared" si="6"/>
        <v>Poor</v>
      </c>
      <c r="L85" s="65" t="str">
        <f t="shared" si="7"/>
        <v>Medium</v>
      </c>
      <c r="M85" s="70" t="str">
        <f t="shared" si="8"/>
        <v>2A</v>
      </c>
    </row>
    <row r="86" spans="1:13" hidden="1" x14ac:dyDescent="0.25">
      <c r="A86" s="76">
        <v>10305</v>
      </c>
      <c r="B86" s="12" t="s">
        <v>339</v>
      </c>
      <c r="C86" s="66" t="s">
        <v>340</v>
      </c>
      <c r="D86" s="12" t="s">
        <v>586</v>
      </c>
      <c r="E86" s="12" t="s">
        <v>558</v>
      </c>
      <c r="F86" s="12" t="s">
        <v>315</v>
      </c>
      <c r="G86" s="12" t="s">
        <v>316</v>
      </c>
      <c r="H86" s="65">
        <v>4</v>
      </c>
      <c r="I86" s="65">
        <v>3.9</v>
      </c>
      <c r="J86" s="65">
        <v>4</v>
      </c>
      <c r="K86" s="65" t="str">
        <f t="shared" si="6"/>
        <v>Average</v>
      </c>
      <c r="L86" s="65" t="str">
        <f t="shared" si="7"/>
        <v>Medium</v>
      </c>
      <c r="M86" s="70" t="str">
        <f t="shared" si="8"/>
        <v>2B</v>
      </c>
    </row>
    <row r="87" spans="1:13" hidden="1" x14ac:dyDescent="0.25">
      <c r="A87" s="76">
        <v>6592</v>
      </c>
      <c r="B87" s="12" t="s">
        <v>203</v>
      </c>
      <c r="C87" s="66" t="s">
        <v>25</v>
      </c>
      <c r="D87" s="12" t="s">
        <v>587</v>
      </c>
      <c r="E87" s="12" t="s">
        <v>591</v>
      </c>
      <c r="F87" s="12" t="s">
        <v>204</v>
      </c>
      <c r="G87" s="12" t="s">
        <v>200</v>
      </c>
      <c r="H87" s="65">
        <v>3</v>
      </c>
      <c r="I87" s="65">
        <v>3</v>
      </c>
      <c r="J87" s="65">
        <v>3</v>
      </c>
      <c r="K87" s="65" t="str">
        <f t="shared" si="6"/>
        <v>Poor</v>
      </c>
      <c r="L87" s="65" t="str">
        <f t="shared" si="7"/>
        <v>Medium</v>
      </c>
      <c r="M87" s="70" t="str">
        <f t="shared" si="8"/>
        <v>2A</v>
      </c>
    </row>
    <row r="88" spans="1:13" x14ac:dyDescent="0.25">
      <c r="A88" s="76">
        <v>49622</v>
      </c>
      <c r="B88" s="12" t="s">
        <v>163</v>
      </c>
      <c r="C88" s="66" t="s">
        <v>160</v>
      </c>
      <c r="D88" s="12" t="s">
        <v>586</v>
      </c>
      <c r="E88" s="12" t="s">
        <v>556</v>
      </c>
      <c r="F88" s="12" t="s">
        <v>116</v>
      </c>
      <c r="G88" s="12" t="s">
        <v>147</v>
      </c>
      <c r="H88" s="65">
        <v>3.5</v>
      </c>
      <c r="I88" s="65">
        <v>3.2</v>
      </c>
      <c r="J88" s="65">
        <v>3.8</v>
      </c>
      <c r="K88" s="65" t="str">
        <f t="shared" si="6"/>
        <v>Average</v>
      </c>
      <c r="L88" s="65" t="str">
        <f t="shared" si="7"/>
        <v>Medium</v>
      </c>
      <c r="M88" s="70" t="str">
        <f t="shared" si="8"/>
        <v>2B</v>
      </c>
    </row>
    <row r="89" spans="1:13" x14ac:dyDescent="0.25">
      <c r="A89" s="76">
        <v>10323</v>
      </c>
      <c r="B89" s="12" t="s">
        <v>85</v>
      </c>
      <c r="C89" s="66" t="s">
        <v>86</v>
      </c>
      <c r="D89" s="12" t="s">
        <v>586</v>
      </c>
      <c r="E89" s="12" t="s">
        <v>559</v>
      </c>
      <c r="F89" s="12" t="s">
        <v>87</v>
      </c>
      <c r="G89" s="12" t="s">
        <v>88</v>
      </c>
      <c r="H89" s="65">
        <v>4</v>
      </c>
      <c r="I89" s="65">
        <v>4</v>
      </c>
      <c r="J89" s="65">
        <v>4</v>
      </c>
      <c r="K89" s="65" t="str">
        <f t="shared" si="6"/>
        <v>Average</v>
      </c>
      <c r="L89" s="65" t="str">
        <f t="shared" si="7"/>
        <v>Medium</v>
      </c>
      <c r="M89" s="70" t="str">
        <f t="shared" si="8"/>
        <v>2B</v>
      </c>
    </row>
    <row r="90" spans="1:13" x14ac:dyDescent="0.25">
      <c r="A90" s="76">
        <v>48343</v>
      </c>
      <c r="B90" s="12" t="s">
        <v>138</v>
      </c>
      <c r="C90" s="66" t="s">
        <v>407</v>
      </c>
      <c r="D90" s="12" t="s">
        <v>586</v>
      </c>
      <c r="E90" s="12" t="s">
        <v>556</v>
      </c>
      <c r="F90" s="12" t="s">
        <v>408</v>
      </c>
      <c r="G90" s="12" t="s">
        <v>117</v>
      </c>
      <c r="H90" s="65">
        <v>3.3</v>
      </c>
      <c r="I90" s="65">
        <v>3.3</v>
      </c>
      <c r="J90" s="65">
        <v>3.2</v>
      </c>
      <c r="K90" s="65" t="str">
        <f t="shared" si="6"/>
        <v>Poor</v>
      </c>
      <c r="L90" s="65" t="str">
        <f t="shared" si="7"/>
        <v>Medium</v>
      </c>
      <c r="M90" s="70" t="str">
        <f t="shared" si="8"/>
        <v>2A</v>
      </c>
    </row>
    <row r="91" spans="1:13" x14ac:dyDescent="0.25">
      <c r="A91" s="76">
        <v>47873</v>
      </c>
      <c r="B91" s="12" t="s">
        <v>117</v>
      </c>
      <c r="C91" s="66" t="s">
        <v>409</v>
      </c>
      <c r="D91" s="12" t="s">
        <v>586</v>
      </c>
      <c r="E91" s="12" t="s">
        <v>556</v>
      </c>
      <c r="F91" s="12" t="s">
        <v>410</v>
      </c>
      <c r="G91" s="12" t="s">
        <v>151</v>
      </c>
      <c r="H91" s="65">
        <v>5</v>
      </c>
      <c r="I91" s="65">
        <v>5</v>
      </c>
      <c r="J91" s="65">
        <v>5</v>
      </c>
      <c r="K91" s="65" t="str">
        <f t="shared" si="6"/>
        <v>High</v>
      </c>
      <c r="L91" s="65" t="str">
        <f t="shared" si="7"/>
        <v>High</v>
      </c>
      <c r="M91" s="70" t="str">
        <f t="shared" si="8"/>
        <v>3C</v>
      </c>
    </row>
    <row r="92" spans="1:13" hidden="1" x14ac:dyDescent="0.25">
      <c r="A92" s="76">
        <v>10837</v>
      </c>
      <c r="B92" s="12" t="s">
        <v>458</v>
      </c>
      <c r="C92" s="66" t="s">
        <v>459</v>
      </c>
      <c r="D92" s="12" t="s">
        <v>586</v>
      </c>
      <c r="E92" s="12" t="s">
        <v>564</v>
      </c>
      <c r="F92" s="12" t="s">
        <v>460</v>
      </c>
      <c r="G92" s="12" t="s">
        <v>296</v>
      </c>
      <c r="H92" s="65">
        <v>4.5</v>
      </c>
      <c r="I92" s="65">
        <v>4.4000000000000004</v>
      </c>
      <c r="J92" s="65">
        <v>4.5</v>
      </c>
      <c r="K92" s="65" t="str">
        <f t="shared" si="6"/>
        <v>High</v>
      </c>
      <c r="L92" s="65" t="str">
        <f t="shared" si="7"/>
        <v>High</v>
      </c>
      <c r="M92" s="70" t="str">
        <f t="shared" si="8"/>
        <v>3C</v>
      </c>
    </row>
    <row r="93" spans="1:13" hidden="1" x14ac:dyDescent="0.25">
      <c r="A93" s="76">
        <v>5851</v>
      </c>
      <c r="B93" s="12" t="s">
        <v>266</v>
      </c>
      <c r="C93" s="66" t="s">
        <v>329</v>
      </c>
      <c r="D93" s="12" t="s">
        <v>586</v>
      </c>
      <c r="E93" s="12" t="s">
        <v>594</v>
      </c>
      <c r="F93" s="12" t="s">
        <v>447</v>
      </c>
      <c r="G93" s="12" t="s">
        <v>386</v>
      </c>
      <c r="H93" s="65">
        <v>2.9</v>
      </c>
      <c r="I93" s="65">
        <v>2.9</v>
      </c>
      <c r="J93" s="65">
        <v>2.8</v>
      </c>
      <c r="K93" s="65" t="str">
        <f t="shared" si="6"/>
        <v>Poor</v>
      </c>
      <c r="L93" s="65" t="str">
        <f t="shared" si="7"/>
        <v>Low</v>
      </c>
      <c r="M93" s="70" t="str">
        <f t="shared" si="8"/>
        <v>1A</v>
      </c>
    </row>
    <row r="94" spans="1:13" hidden="1" x14ac:dyDescent="0.25">
      <c r="A94" s="76">
        <v>47610</v>
      </c>
      <c r="B94" s="12" t="s">
        <v>341</v>
      </c>
      <c r="C94" s="66" t="s">
        <v>342</v>
      </c>
      <c r="D94" s="12" t="s">
        <v>586</v>
      </c>
      <c r="E94" s="12" t="s">
        <v>558</v>
      </c>
      <c r="F94" s="12" t="s">
        <v>332</v>
      </c>
      <c r="G94" s="12" t="s">
        <v>333</v>
      </c>
      <c r="H94" s="65">
        <v>4.9000000000000004</v>
      </c>
      <c r="I94" s="65">
        <v>4.7</v>
      </c>
      <c r="J94" s="65">
        <v>5</v>
      </c>
      <c r="K94" s="65" t="str">
        <f t="shared" si="6"/>
        <v>High</v>
      </c>
      <c r="L94" s="65" t="str">
        <f t="shared" si="7"/>
        <v>High</v>
      </c>
      <c r="M94" s="70" t="str">
        <f t="shared" si="8"/>
        <v>3C</v>
      </c>
    </row>
    <row r="95" spans="1:13" x14ac:dyDescent="0.25">
      <c r="A95" s="76">
        <v>47624</v>
      </c>
      <c r="B95" s="12" t="s">
        <v>147</v>
      </c>
      <c r="C95" s="66" t="s">
        <v>342</v>
      </c>
      <c r="D95" s="12" t="s">
        <v>586</v>
      </c>
      <c r="E95" s="12" t="s">
        <v>556</v>
      </c>
      <c r="F95" s="12" t="s">
        <v>408</v>
      </c>
      <c r="G95" s="12" t="s">
        <v>117</v>
      </c>
      <c r="H95" s="65">
        <v>4</v>
      </c>
      <c r="I95" s="65">
        <v>4.2</v>
      </c>
      <c r="J95" s="65">
        <v>3.7</v>
      </c>
      <c r="K95" s="65" t="str">
        <f t="shared" si="6"/>
        <v>Average</v>
      </c>
      <c r="L95" s="65" t="str">
        <f t="shared" si="7"/>
        <v>Medium</v>
      </c>
      <c r="M95" s="70" t="str">
        <f t="shared" si="8"/>
        <v>2B</v>
      </c>
    </row>
    <row r="96" spans="1:13" x14ac:dyDescent="0.25">
      <c r="A96" s="76">
        <v>10313</v>
      </c>
      <c r="B96" s="12" t="s">
        <v>164</v>
      </c>
      <c r="C96" s="66" t="s">
        <v>165</v>
      </c>
      <c r="D96" s="12" t="s">
        <v>586</v>
      </c>
      <c r="E96" s="12" t="s">
        <v>556</v>
      </c>
      <c r="F96" s="12" t="s">
        <v>166</v>
      </c>
      <c r="G96" s="12" t="s">
        <v>147</v>
      </c>
      <c r="H96" s="65">
        <v>4.7</v>
      </c>
      <c r="I96" s="65">
        <v>4.7</v>
      </c>
      <c r="J96" s="65">
        <v>4.7</v>
      </c>
      <c r="K96" s="65" t="str">
        <f t="shared" si="6"/>
        <v>High</v>
      </c>
      <c r="L96" s="65" t="str">
        <f t="shared" si="7"/>
        <v>High</v>
      </c>
      <c r="M96" s="70" t="str">
        <f t="shared" si="8"/>
        <v>3C</v>
      </c>
    </row>
    <row r="97" spans="1:13" hidden="1" x14ac:dyDescent="0.25">
      <c r="A97" s="76">
        <v>10867</v>
      </c>
      <c r="B97" s="12" t="s">
        <v>243</v>
      </c>
      <c r="C97" s="66" t="s">
        <v>434</v>
      </c>
      <c r="D97" s="12" t="s">
        <v>586</v>
      </c>
      <c r="E97" s="12" t="s">
        <v>591</v>
      </c>
      <c r="F97" s="12" t="s">
        <v>435</v>
      </c>
      <c r="G97" s="12" t="s">
        <v>382</v>
      </c>
      <c r="H97" s="65">
        <v>4.7</v>
      </c>
      <c r="I97" s="65">
        <v>4.7</v>
      </c>
      <c r="J97" s="65">
        <v>4.7</v>
      </c>
      <c r="K97" s="65" t="str">
        <f t="shared" si="6"/>
        <v>High</v>
      </c>
      <c r="L97" s="65" t="str">
        <f t="shared" si="7"/>
        <v>High</v>
      </c>
      <c r="M97" s="70" t="str">
        <f t="shared" si="8"/>
        <v>3C</v>
      </c>
    </row>
    <row r="98" spans="1:13" hidden="1" x14ac:dyDescent="0.25">
      <c r="A98" s="76">
        <v>48345</v>
      </c>
      <c r="B98" s="12" t="s">
        <v>231</v>
      </c>
      <c r="C98" s="66" t="s">
        <v>232</v>
      </c>
      <c r="D98" s="12" t="s">
        <v>586</v>
      </c>
      <c r="E98" s="12" t="s">
        <v>591</v>
      </c>
      <c r="F98" s="12" t="s">
        <v>233</v>
      </c>
      <c r="G98" s="12" t="s">
        <v>225</v>
      </c>
      <c r="H98" s="65">
        <v>3.5</v>
      </c>
      <c r="I98" s="65">
        <v>3.5</v>
      </c>
      <c r="J98" s="65">
        <v>3.5</v>
      </c>
      <c r="K98" s="65" t="str">
        <f t="shared" si="6"/>
        <v>Average</v>
      </c>
      <c r="L98" s="65" t="str">
        <f t="shared" si="7"/>
        <v>Medium</v>
      </c>
      <c r="M98" s="70" t="str">
        <f t="shared" si="8"/>
        <v>2B</v>
      </c>
    </row>
    <row r="99" spans="1:13" hidden="1" x14ac:dyDescent="0.25">
      <c r="A99" s="76">
        <v>49977</v>
      </c>
      <c r="B99" s="12" t="s">
        <v>37</v>
      </c>
      <c r="C99" s="66" t="s">
        <v>38</v>
      </c>
      <c r="D99" s="12" t="s">
        <v>587</v>
      </c>
      <c r="E99" s="12" t="s">
        <v>589</v>
      </c>
      <c r="F99" s="12" t="s">
        <v>39</v>
      </c>
      <c r="G99" s="12" t="s">
        <v>23</v>
      </c>
      <c r="H99" s="65">
        <v>3</v>
      </c>
      <c r="I99" s="65">
        <v>3</v>
      </c>
      <c r="J99" s="65">
        <v>3</v>
      </c>
      <c r="K99" s="65" t="str">
        <f t="shared" si="6"/>
        <v>Poor</v>
      </c>
      <c r="L99" s="65" t="str">
        <f t="shared" si="7"/>
        <v>Medium</v>
      </c>
      <c r="M99" s="70" t="str">
        <f t="shared" si="8"/>
        <v>2A</v>
      </c>
    </row>
    <row r="100" spans="1:13" x14ac:dyDescent="0.25">
      <c r="A100" s="76">
        <v>31245</v>
      </c>
      <c r="B100" s="12" t="s">
        <v>107</v>
      </c>
      <c r="C100" s="66" t="s">
        <v>402</v>
      </c>
      <c r="D100" s="12" t="s">
        <v>585</v>
      </c>
      <c r="E100" s="12" t="s">
        <v>556</v>
      </c>
      <c r="F100" s="12" t="s">
        <v>120</v>
      </c>
      <c r="G100" s="12" t="s">
        <v>121</v>
      </c>
      <c r="H100" s="65">
        <v>3.8</v>
      </c>
      <c r="I100" s="65">
        <v>4.2</v>
      </c>
      <c r="J100" s="65">
        <v>3.3</v>
      </c>
      <c r="K100" s="65" t="str">
        <f t="shared" si="6"/>
        <v>Average</v>
      </c>
      <c r="L100" s="65" t="str">
        <f t="shared" si="7"/>
        <v>Medium</v>
      </c>
      <c r="M100" s="70" t="str">
        <f t="shared" si="8"/>
        <v>2B</v>
      </c>
    </row>
    <row r="101" spans="1:13" hidden="1" x14ac:dyDescent="0.25">
      <c r="A101" s="76">
        <v>49002</v>
      </c>
      <c r="B101" s="12" t="s">
        <v>304</v>
      </c>
      <c r="C101" s="66" t="s">
        <v>461</v>
      </c>
      <c r="D101" s="12" t="s">
        <v>586</v>
      </c>
      <c r="E101" s="12" t="s">
        <v>564</v>
      </c>
      <c r="F101" s="12" t="s">
        <v>462</v>
      </c>
      <c r="G101" s="12" t="s">
        <v>458</v>
      </c>
      <c r="H101" s="65">
        <v>4.7</v>
      </c>
      <c r="I101" s="65">
        <v>4.5</v>
      </c>
      <c r="J101" s="65">
        <v>4.8</v>
      </c>
      <c r="K101" s="65" t="str">
        <f t="shared" si="6"/>
        <v>High</v>
      </c>
      <c r="L101" s="65" t="str">
        <f t="shared" si="7"/>
        <v>High</v>
      </c>
      <c r="M101" s="70" t="str">
        <f t="shared" si="8"/>
        <v>3C</v>
      </c>
    </row>
    <row r="102" spans="1:13" x14ac:dyDescent="0.25">
      <c r="A102" s="76">
        <v>2069</v>
      </c>
      <c r="B102" s="12" t="s">
        <v>100</v>
      </c>
      <c r="C102" s="66" t="s">
        <v>145</v>
      </c>
      <c r="D102" s="12" t="s">
        <v>586</v>
      </c>
      <c r="E102" s="12" t="s">
        <v>556</v>
      </c>
      <c r="F102" s="12" t="s">
        <v>400</v>
      </c>
      <c r="G102" s="12" t="s">
        <v>121</v>
      </c>
      <c r="H102" s="65">
        <v>4.9000000000000004</v>
      </c>
      <c r="I102" s="65">
        <v>5</v>
      </c>
      <c r="J102" s="65">
        <v>4.7</v>
      </c>
      <c r="K102" s="65" t="str">
        <f t="shared" si="6"/>
        <v>High</v>
      </c>
      <c r="L102" s="65" t="str">
        <f t="shared" si="7"/>
        <v>High</v>
      </c>
      <c r="M102" s="70" t="str">
        <f t="shared" si="8"/>
        <v>3C</v>
      </c>
    </row>
    <row r="103" spans="1:13" hidden="1" x14ac:dyDescent="0.25">
      <c r="A103" s="76">
        <v>50597</v>
      </c>
      <c r="B103" s="12" t="s">
        <v>272</v>
      </c>
      <c r="C103" s="66" t="s">
        <v>273</v>
      </c>
      <c r="D103" s="12" t="s">
        <v>585</v>
      </c>
      <c r="E103" s="12" t="s">
        <v>595</v>
      </c>
      <c r="F103" s="12" t="s">
        <v>274</v>
      </c>
      <c r="G103" s="12" t="s">
        <v>275</v>
      </c>
      <c r="H103" s="65">
        <v>5</v>
      </c>
      <c r="I103" s="65">
        <v>5</v>
      </c>
      <c r="J103" s="65">
        <v>5</v>
      </c>
      <c r="K103" s="65" t="str">
        <f t="shared" si="6"/>
        <v>High</v>
      </c>
      <c r="L103" s="65" t="str">
        <f t="shared" si="7"/>
        <v>High</v>
      </c>
      <c r="M103" s="70" t="str">
        <f t="shared" si="8"/>
        <v>3C</v>
      </c>
    </row>
    <row r="104" spans="1:13" x14ac:dyDescent="0.25">
      <c r="A104" s="76">
        <v>49442</v>
      </c>
      <c r="B104" s="12" t="s">
        <v>167</v>
      </c>
      <c r="C104" s="66" t="s">
        <v>168</v>
      </c>
      <c r="D104" s="12" t="s">
        <v>586</v>
      </c>
      <c r="E104" s="12" t="s">
        <v>556</v>
      </c>
      <c r="F104" s="12" t="s">
        <v>141</v>
      </c>
      <c r="G104" s="12" t="s">
        <v>169</v>
      </c>
      <c r="H104" s="65">
        <v>4</v>
      </c>
      <c r="I104" s="65">
        <v>3.8</v>
      </c>
      <c r="J104" s="65">
        <v>4.2</v>
      </c>
      <c r="K104" s="65" t="str">
        <f t="shared" si="6"/>
        <v>Average</v>
      </c>
      <c r="L104" s="65" t="str">
        <f t="shared" si="7"/>
        <v>Medium</v>
      </c>
      <c r="M104" s="70" t="str">
        <f t="shared" si="8"/>
        <v>2B</v>
      </c>
    </row>
    <row r="105" spans="1:13" hidden="1" x14ac:dyDescent="0.25">
      <c r="A105" s="76">
        <v>10307</v>
      </c>
      <c r="B105" s="12" t="s">
        <v>283</v>
      </c>
      <c r="C105" s="66" t="s">
        <v>248</v>
      </c>
      <c r="D105" s="12" t="s">
        <v>586</v>
      </c>
      <c r="E105" s="12" t="s">
        <v>595</v>
      </c>
      <c r="F105" s="12" t="s">
        <v>452</v>
      </c>
      <c r="G105" s="12" t="s">
        <v>386</v>
      </c>
      <c r="H105" s="65">
        <v>4.5</v>
      </c>
      <c r="I105" s="65">
        <v>4.4000000000000004</v>
      </c>
      <c r="J105" s="65">
        <v>4.5</v>
      </c>
      <c r="K105" s="65" t="str">
        <f t="shared" si="6"/>
        <v>High</v>
      </c>
      <c r="L105" s="65" t="str">
        <f t="shared" si="7"/>
        <v>High</v>
      </c>
      <c r="M105" s="70" t="str">
        <f t="shared" si="8"/>
        <v>3C</v>
      </c>
    </row>
    <row r="106" spans="1:13" hidden="1" x14ac:dyDescent="0.25">
      <c r="A106" s="76">
        <v>50816</v>
      </c>
      <c r="B106" s="12" t="s">
        <v>205</v>
      </c>
      <c r="C106" s="66" t="s">
        <v>206</v>
      </c>
      <c r="D106" s="12" t="s">
        <v>585</v>
      </c>
      <c r="E106" s="12" t="s">
        <v>591</v>
      </c>
      <c r="F106" s="12" t="s">
        <v>207</v>
      </c>
      <c r="G106" s="12" t="s">
        <v>196</v>
      </c>
      <c r="H106" s="65">
        <v>3</v>
      </c>
      <c r="I106" s="65">
        <v>3</v>
      </c>
      <c r="J106" s="65">
        <v>3</v>
      </c>
      <c r="K106" s="65" t="str">
        <f t="shared" si="6"/>
        <v>Poor</v>
      </c>
      <c r="L106" s="65" t="str">
        <f t="shared" si="7"/>
        <v>Medium</v>
      </c>
      <c r="M106" s="70" t="str">
        <f t="shared" si="8"/>
        <v>2A</v>
      </c>
    </row>
    <row r="107" spans="1:13" x14ac:dyDescent="0.25">
      <c r="A107" s="76">
        <v>48189</v>
      </c>
      <c r="B107" s="12" t="s">
        <v>122</v>
      </c>
      <c r="C107" s="66" t="s">
        <v>123</v>
      </c>
      <c r="D107" s="12" t="s">
        <v>585</v>
      </c>
      <c r="E107" s="12" t="s">
        <v>556</v>
      </c>
      <c r="F107" s="12" t="s">
        <v>103</v>
      </c>
      <c r="G107" s="12" t="s">
        <v>121</v>
      </c>
      <c r="H107" s="65">
        <v>4.5999999999999996</v>
      </c>
      <c r="I107" s="65">
        <v>4.4000000000000004</v>
      </c>
      <c r="J107" s="65">
        <v>4.7</v>
      </c>
      <c r="K107" s="65" t="str">
        <f t="shared" si="6"/>
        <v>High</v>
      </c>
      <c r="L107" s="65" t="str">
        <f t="shared" si="7"/>
        <v>High</v>
      </c>
      <c r="M107" s="70" t="str">
        <f t="shared" si="8"/>
        <v>3C</v>
      </c>
    </row>
    <row r="108" spans="1:13" x14ac:dyDescent="0.25">
      <c r="A108" s="76">
        <v>47722</v>
      </c>
      <c r="B108" s="12" t="s">
        <v>49</v>
      </c>
      <c r="C108" s="66" t="s">
        <v>50</v>
      </c>
      <c r="D108" s="12" t="s">
        <v>587</v>
      </c>
      <c r="E108" s="12" t="s">
        <v>559</v>
      </c>
      <c r="F108" s="12" t="s">
        <v>51</v>
      </c>
      <c r="G108" s="12" t="s">
        <v>52</v>
      </c>
      <c r="H108" s="65">
        <v>3.6</v>
      </c>
      <c r="I108" s="65">
        <v>3.5</v>
      </c>
      <c r="J108" s="65">
        <v>3.7</v>
      </c>
      <c r="K108" s="65" t="str">
        <f t="shared" si="6"/>
        <v>Average</v>
      </c>
      <c r="L108" s="65" t="str">
        <f t="shared" si="7"/>
        <v>Medium</v>
      </c>
      <c r="M108" s="70" t="str">
        <f t="shared" si="8"/>
        <v>2B</v>
      </c>
    </row>
    <row r="109" spans="1:13" hidden="1" x14ac:dyDescent="0.25">
      <c r="A109" s="76">
        <v>51033</v>
      </c>
      <c r="B109" s="12" t="s">
        <v>276</v>
      </c>
      <c r="C109" s="66" t="s">
        <v>277</v>
      </c>
      <c r="D109" s="12" t="s">
        <v>587</v>
      </c>
      <c r="E109" s="12" t="s">
        <v>595</v>
      </c>
      <c r="F109" s="12" t="s">
        <v>278</v>
      </c>
      <c r="G109" s="12" t="s">
        <v>279</v>
      </c>
      <c r="H109" s="65">
        <v>4.4000000000000004</v>
      </c>
      <c r="I109" s="65">
        <v>4.4000000000000004</v>
      </c>
      <c r="J109" s="65">
        <v>4.4000000000000004</v>
      </c>
      <c r="K109" s="65" t="str">
        <f t="shared" si="6"/>
        <v>High</v>
      </c>
      <c r="L109" s="65" t="str">
        <f t="shared" si="7"/>
        <v>High</v>
      </c>
      <c r="M109" s="70" t="str">
        <f t="shared" si="8"/>
        <v>3C</v>
      </c>
    </row>
    <row r="110" spans="1:13" x14ac:dyDescent="0.25">
      <c r="A110" s="76">
        <v>6573</v>
      </c>
      <c r="B110" s="12" t="s">
        <v>62</v>
      </c>
      <c r="C110" s="66" t="s">
        <v>25</v>
      </c>
      <c r="D110" s="12" t="s">
        <v>587</v>
      </c>
      <c r="E110" s="12" t="s">
        <v>559</v>
      </c>
      <c r="F110" s="12" t="s">
        <v>54</v>
      </c>
      <c r="G110" s="12" t="s">
        <v>55</v>
      </c>
      <c r="H110" s="65">
        <v>3.8</v>
      </c>
      <c r="I110" s="65">
        <v>3.8</v>
      </c>
      <c r="J110" s="65">
        <v>3.7</v>
      </c>
      <c r="K110" s="65" t="str">
        <f t="shared" ref="K110:K141" si="9">IF(H110="","",
IF(OR(H110="NR",H110="NA"),"NA",
IF(H110&lt;$K$4,$J$4,
IF(H110&lt;$K$5,$J$5,$J$6)
)))</f>
        <v>Average</v>
      </c>
      <c r="L110" s="65" t="str">
        <f t="shared" ref="L110:L141" si="10">IF(J110="","",
IF(OR(J110="NR",J110="NA"),"NA",
IF(J110&lt;$N$4,$M$4,
IF(J110&lt;$N$5,$M$5,$M$6)
)))</f>
        <v>Medium</v>
      </c>
      <c r="M110" s="70" t="str">
        <f t="shared" ref="M110:M141" si="11">IF(OR(K110="",L110=""),"",
IF(AND(K110=$J$6,L110=$M$6),"3C",
IF(AND(K110=$J$5,L110=$M$6),"3B",
IF(AND(K110=$J$4,L110=$M$6),"3A",
IF(AND(K110=$J$6,L110=$M$5),"2C",
IF(AND(K110=$J$5,L110=$M$5),"2B",
IF(AND(K110=$J$4,L110=$M$5),"2A",
IF(AND(K110=$J$6,L110=$M$4),"1C",
IF(AND(K110=$J$5,L110=$M$4),"1B",
IF(AND(K110=$J$4,L110=$M$4),"1A","")
)))))))))</f>
        <v>2B</v>
      </c>
    </row>
    <row r="111" spans="1:13" x14ac:dyDescent="0.25">
      <c r="A111" s="76">
        <v>6549</v>
      </c>
      <c r="B111" s="12" t="s">
        <v>55</v>
      </c>
      <c r="C111" s="66" t="s">
        <v>25</v>
      </c>
      <c r="D111" s="12" t="s">
        <v>587</v>
      </c>
      <c r="E111" s="12" t="s">
        <v>559</v>
      </c>
      <c r="F111" s="12" t="s">
        <v>390</v>
      </c>
      <c r="G111" s="12" t="s">
        <v>65</v>
      </c>
      <c r="H111" s="65">
        <v>4.0999999999999996</v>
      </c>
      <c r="I111" s="65">
        <v>4.2</v>
      </c>
      <c r="J111" s="65">
        <v>4</v>
      </c>
      <c r="K111" s="65" t="str">
        <f t="shared" si="9"/>
        <v>Average</v>
      </c>
      <c r="L111" s="65" t="str">
        <f t="shared" si="10"/>
        <v>Medium</v>
      </c>
      <c r="M111" s="70" t="str">
        <f t="shared" si="11"/>
        <v>2B</v>
      </c>
    </row>
    <row r="112" spans="1:13" hidden="1" x14ac:dyDescent="0.25">
      <c r="A112" s="76">
        <v>50978</v>
      </c>
      <c r="B112" s="12" t="s">
        <v>305</v>
      </c>
      <c r="C112" s="66" t="s">
        <v>306</v>
      </c>
      <c r="D112" s="12" t="s">
        <v>585</v>
      </c>
      <c r="E112" s="12" t="s">
        <v>592</v>
      </c>
      <c r="F112" s="12" t="s">
        <v>307</v>
      </c>
      <c r="G112" s="12" t="s">
        <v>308</v>
      </c>
      <c r="H112" s="65">
        <v>3.4</v>
      </c>
      <c r="I112" s="65">
        <v>3.4</v>
      </c>
      <c r="J112" s="65">
        <v>3.4</v>
      </c>
      <c r="K112" s="65" t="str">
        <f t="shared" si="9"/>
        <v>Average</v>
      </c>
      <c r="L112" s="65" t="str">
        <f t="shared" si="10"/>
        <v>Medium</v>
      </c>
      <c r="M112" s="70" t="str">
        <f t="shared" si="11"/>
        <v>2B</v>
      </c>
    </row>
    <row r="113" spans="1:13" hidden="1" x14ac:dyDescent="0.25">
      <c r="A113" s="76">
        <v>31250</v>
      </c>
      <c r="B113" s="12" t="s">
        <v>196</v>
      </c>
      <c r="C113" s="66" t="s">
        <v>229</v>
      </c>
      <c r="D113" s="12" t="s">
        <v>585</v>
      </c>
      <c r="E113" s="12" t="s">
        <v>591</v>
      </c>
      <c r="F113" s="12" t="s">
        <v>230</v>
      </c>
      <c r="G113" s="12" t="s">
        <v>225</v>
      </c>
      <c r="H113" s="65">
        <v>3.4</v>
      </c>
      <c r="I113" s="65">
        <v>3.5</v>
      </c>
      <c r="J113" s="65">
        <v>3.3</v>
      </c>
      <c r="K113" s="65" t="str">
        <f t="shared" si="9"/>
        <v>Average</v>
      </c>
      <c r="L113" s="65" t="str">
        <f t="shared" si="10"/>
        <v>Medium</v>
      </c>
      <c r="M113" s="70" t="str">
        <f t="shared" si="11"/>
        <v>2B</v>
      </c>
    </row>
    <row r="114" spans="1:13" hidden="1" x14ac:dyDescent="0.25">
      <c r="A114" s="76">
        <v>10869</v>
      </c>
      <c r="B114" s="12" t="s">
        <v>343</v>
      </c>
      <c r="C114" s="66" t="s">
        <v>344</v>
      </c>
      <c r="D114" s="12" t="s">
        <v>586</v>
      </c>
      <c r="E114" s="12" t="s">
        <v>558</v>
      </c>
      <c r="F114" s="12" t="s">
        <v>327</v>
      </c>
      <c r="G114" s="12" t="s">
        <v>316</v>
      </c>
      <c r="H114" s="65">
        <v>4</v>
      </c>
      <c r="I114" s="65">
        <v>4</v>
      </c>
      <c r="J114" s="65">
        <v>4</v>
      </c>
      <c r="K114" s="65" t="str">
        <f t="shared" si="9"/>
        <v>Average</v>
      </c>
      <c r="L114" s="65" t="str">
        <f t="shared" si="10"/>
        <v>Medium</v>
      </c>
      <c r="M114" s="70" t="str">
        <f t="shared" si="11"/>
        <v>2B</v>
      </c>
    </row>
    <row r="115" spans="1:13" hidden="1" x14ac:dyDescent="0.25">
      <c r="A115" s="76">
        <v>10833</v>
      </c>
      <c r="B115" s="12" t="s">
        <v>345</v>
      </c>
      <c r="C115" s="66" t="s">
        <v>346</v>
      </c>
      <c r="D115" s="12" t="s">
        <v>586</v>
      </c>
      <c r="E115" s="12" t="s">
        <v>558</v>
      </c>
      <c r="F115" s="12" t="s">
        <v>315</v>
      </c>
      <c r="G115" s="12" t="s">
        <v>316</v>
      </c>
      <c r="H115" s="65">
        <v>4.4000000000000004</v>
      </c>
      <c r="I115" s="65">
        <v>4.5</v>
      </c>
      <c r="J115" s="65">
        <v>4.3</v>
      </c>
      <c r="K115" s="65" t="str">
        <f t="shared" si="9"/>
        <v>High</v>
      </c>
      <c r="L115" s="65" t="str">
        <f t="shared" si="10"/>
        <v>Medium</v>
      </c>
      <c r="M115" s="70" t="str">
        <f t="shared" si="11"/>
        <v>2C</v>
      </c>
    </row>
    <row r="116" spans="1:13" hidden="1" x14ac:dyDescent="0.25">
      <c r="A116" s="76">
        <v>10839</v>
      </c>
      <c r="B116" s="12" t="s">
        <v>347</v>
      </c>
      <c r="C116" s="66" t="s">
        <v>348</v>
      </c>
      <c r="D116" s="12" t="s">
        <v>586</v>
      </c>
      <c r="E116" s="12" t="s">
        <v>558</v>
      </c>
      <c r="F116" s="12" t="s">
        <v>315</v>
      </c>
      <c r="G116" s="12" t="s">
        <v>316</v>
      </c>
      <c r="H116" s="65">
        <v>4.4000000000000004</v>
      </c>
      <c r="I116" s="65">
        <v>4.5</v>
      </c>
      <c r="J116" s="65">
        <v>4.3</v>
      </c>
      <c r="K116" s="65" t="str">
        <f t="shared" si="9"/>
        <v>High</v>
      </c>
      <c r="L116" s="65" t="str">
        <f t="shared" si="10"/>
        <v>Medium</v>
      </c>
      <c r="M116" s="70" t="str">
        <f t="shared" si="11"/>
        <v>2C</v>
      </c>
    </row>
    <row r="117" spans="1:13" hidden="1" x14ac:dyDescent="0.25">
      <c r="A117" s="76">
        <v>10317</v>
      </c>
      <c r="B117" s="12" t="s">
        <v>349</v>
      </c>
      <c r="C117" s="66" t="s">
        <v>338</v>
      </c>
      <c r="D117" s="12" t="s">
        <v>586</v>
      </c>
      <c r="E117" s="12" t="s">
        <v>558</v>
      </c>
      <c r="F117" s="12" t="s">
        <v>350</v>
      </c>
      <c r="G117" s="12" t="s">
        <v>333</v>
      </c>
      <c r="H117" s="65">
        <v>4.5</v>
      </c>
      <c r="I117" s="65">
        <v>4.4000000000000004</v>
      </c>
      <c r="J117" s="65">
        <v>4.5</v>
      </c>
      <c r="K117" s="65" t="str">
        <f t="shared" si="9"/>
        <v>High</v>
      </c>
      <c r="L117" s="65" t="str">
        <f t="shared" si="10"/>
        <v>High</v>
      </c>
      <c r="M117" s="70" t="str">
        <f t="shared" si="11"/>
        <v>3C</v>
      </c>
    </row>
    <row r="118" spans="1:13" x14ac:dyDescent="0.25">
      <c r="A118" s="76">
        <v>47721</v>
      </c>
      <c r="B118" s="12" t="s">
        <v>72</v>
      </c>
      <c r="C118" s="66" t="s">
        <v>50</v>
      </c>
      <c r="D118" s="12" t="s">
        <v>587</v>
      </c>
      <c r="E118" s="12" t="s">
        <v>559</v>
      </c>
      <c r="F118" s="12" t="s">
        <v>391</v>
      </c>
      <c r="G118" s="12" t="s">
        <v>55</v>
      </c>
      <c r="H118" s="65">
        <v>3.8</v>
      </c>
      <c r="I118" s="65">
        <v>4</v>
      </c>
      <c r="J118" s="65">
        <v>3.5</v>
      </c>
      <c r="K118" s="65" t="str">
        <f t="shared" si="9"/>
        <v>Average</v>
      </c>
      <c r="L118" s="65" t="str">
        <f t="shared" si="10"/>
        <v>Medium</v>
      </c>
      <c r="M118" s="70" t="str">
        <f t="shared" si="11"/>
        <v>2B</v>
      </c>
    </row>
    <row r="119" spans="1:13" x14ac:dyDescent="0.25">
      <c r="A119" s="76">
        <v>48063</v>
      </c>
      <c r="B119" s="12" t="s">
        <v>124</v>
      </c>
      <c r="C119" s="66" t="s">
        <v>125</v>
      </c>
      <c r="D119" s="12" t="s">
        <v>585</v>
      </c>
      <c r="E119" s="12" t="s">
        <v>556</v>
      </c>
      <c r="F119" s="12" t="s">
        <v>126</v>
      </c>
      <c r="G119" s="12" t="s">
        <v>127</v>
      </c>
      <c r="H119" s="65">
        <v>4.3</v>
      </c>
      <c r="I119" s="65">
        <v>4.5</v>
      </c>
      <c r="J119" s="65">
        <v>4</v>
      </c>
      <c r="K119" s="65" t="str">
        <f t="shared" si="9"/>
        <v>Average</v>
      </c>
      <c r="L119" s="65" t="str">
        <f t="shared" si="10"/>
        <v>Medium</v>
      </c>
      <c r="M119" s="70" t="str">
        <f t="shared" si="11"/>
        <v>2B</v>
      </c>
    </row>
    <row r="120" spans="1:13" hidden="1" x14ac:dyDescent="0.25">
      <c r="A120" s="76">
        <v>50171</v>
      </c>
      <c r="B120" s="12" t="s">
        <v>178</v>
      </c>
      <c r="C120" s="66" t="s">
        <v>179</v>
      </c>
      <c r="D120" s="12" t="s">
        <v>585</v>
      </c>
      <c r="E120" s="12" t="s">
        <v>560</v>
      </c>
      <c r="F120" s="12" t="s">
        <v>172</v>
      </c>
      <c r="G120" s="12" t="s">
        <v>180</v>
      </c>
      <c r="H120" s="65">
        <v>4.2</v>
      </c>
      <c r="I120" s="65">
        <v>3.8</v>
      </c>
      <c r="J120" s="65">
        <v>4.5</v>
      </c>
      <c r="K120" s="65" t="str">
        <f t="shared" si="9"/>
        <v>Average</v>
      </c>
      <c r="L120" s="65" t="str">
        <f t="shared" si="10"/>
        <v>High</v>
      </c>
      <c r="M120" s="70" t="str">
        <f t="shared" si="11"/>
        <v>3B</v>
      </c>
    </row>
    <row r="121" spans="1:13" hidden="1" x14ac:dyDescent="0.25">
      <c r="A121" s="76">
        <v>6599</v>
      </c>
      <c r="B121" s="12" t="s">
        <v>309</v>
      </c>
      <c r="C121" s="66" t="s">
        <v>25</v>
      </c>
      <c r="D121" s="12" t="s">
        <v>587</v>
      </c>
      <c r="E121" s="12" t="s">
        <v>592</v>
      </c>
      <c r="F121" s="12" t="s">
        <v>310</v>
      </c>
      <c r="G121" s="12" t="s">
        <v>308</v>
      </c>
      <c r="H121" s="65">
        <v>3.9</v>
      </c>
      <c r="I121" s="65">
        <v>3.9</v>
      </c>
      <c r="J121" s="65">
        <v>3.8</v>
      </c>
      <c r="K121" s="65" t="str">
        <f t="shared" si="9"/>
        <v>Average</v>
      </c>
      <c r="L121" s="65" t="str">
        <f t="shared" si="10"/>
        <v>Medium</v>
      </c>
      <c r="M121" s="70" t="str">
        <f t="shared" si="11"/>
        <v>2B</v>
      </c>
    </row>
    <row r="122" spans="1:13" hidden="1" x14ac:dyDescent="0.25">
      <c r="A122" s="76">
        <v>49915</v>
      </c>
      <c r="B122" s="12" t="s">
        <v>296</v>
      </c>
      <c r="C122" s="66" t="s">
        <v>454</v>
      </c>
      <c r="D122" s="12" t="s">
        <v>586</v>
      </c>
      <c r="E122" s="12" t="s">
        <v>564</v>
      </c>
      <c r="F122" s="12" t="s">
        <v>455</v>
      </c>
      <c r="G122" s="12" t="s">
        <v>386</v>
      </c>
      <c r="H122" s="65">
        <v>4.4000000000000004</v>
      </c>
      <c r="I122" s="65">
        <v>4.5</v>
      </c>
      <c r="J122" s="65">
        <v>4.2</v>
      </c>
      <c r="K122" s="65" t="str">
        <f t="shared" si="9"/>
        <v>High</v>
      </c>
      <c r="L122" s="65" t="str">
        <f t="shared" si="10"/>
        <v>Medium</v>
      </c>
      <c r="M122" s="70" t="str">
        <f t="shared" si="11"/>
        <v>2C</v>
      </c>
    </row>
    <row r="123" spans="1:13" hidden="1" x14ac:dyDescent="0.25">
      <c r="A123" s="76">
        <v>10850</v>
      </c>
      <c r="B123" s="12" t="s">
        <v>428</v>
      </c>
      <c r="C123" s="66" t="s">
        <v>429</v>
      </c>
      <c r="D123" s="12" t="s">
        <v>586</v>
      </c>
      <c r="E123" s="12" t="s">
        <v>591</v>
      </c>
      <c r="F123" s="12" t="s">
        <v>233</v>
      </c>
      <c r="G123" s="12" t="s">
        <v>250</v>
      </c>
      <c r="H123" s="65">
        <v>4.7</v>
      </c>
      <c r="I123" s="65">
        <v>4.5</v>
      </c>
      <c r="J123" s="65">
        <v>4.8</v>
      </c>
      <c r="K123" s="65" t="str">
        <f t="shared" si="9"/>
        <v>High</v>
      </c>
      <c r="L123" s="65" t="str">
        <f t="shared" si="10"/>
        <v>High</v>
      </c>
      <c r="M123" s="70" t="str">
        <f t="shared" si="11"/>
        <v>3C</v>
      </c>
    </row>
    <row r="124" spans="1:13" hidden="1" x14ac:dyDescent="0.25">
      <c r="A124" s="76">
        <v>10823</v>
      </c>
      <c r="B124" s="12" t="s">
        <v>430</v>
      </c>
      <c r="C124" s="66" t="s">
        <v>431</v>
      </c>
      <c r="D124" s="12" t="s">
        <v>586</v>
      </c>
      <c r="E124" s="12" t="s">
        <v>591</v>
      </c>
      <c r="F124" s="12" t="s">
        <v>249</v>
      </c>
      <c r="G124" s="12" t="s">
        <v>250</v>
      </c>
      <c r="H124" s="65">
        <v>4.7</v>
      </c>
      <c r="I124" s="65">
        <v>4.3</v>
      </c>
      <c r="J124" s="65">
        <v>5</v>
      </c>
      <c r="K124" s="65" t="str">
        <f t="shared" si="9"/>
        <v>High</v>
      </c>
      <c r="L124" s="65" t="str">
        <f t="shared" si="10"/>
        <v>High</v>
      </c>
      <c r="M124" s="70" t="str">
        <f t="shared" si="11"/>
        <v>3C</v>
      </c>
    </row>
    <row r="125" spans="1:13" hidden="1" x14ac:dyDescent="0.25">
      <c r="A125" s="76">
        <v>5836</v>
      </c>
      <c r="B125" s="12" t="s">
        <v>382</v>
      </c>
      <c r="C125" s="66" t="s">
        <v>421</v>
      </c>
      <c r="D125" s="12" t="s">
        <v>586</v>
      </c>
      <c r="E125" s="12" t="s">
        <v>596</v>
      </c>
      <c r="F125" s="12" t="s">
        <v>422</v>
      </c>
      <c r="G125" s="12" t="s">
        <v>151</v>
      </c>
      <c r="H125" s="65">
        <v>5</v>
      </c>
      <c r="I125" s="65">
        <v>5</v>
      </c>
      <c r="J125" s="65">
        <v>5</v>
      </c>
      <c r="K125" s="65" t="str">
        <f t="shared" si="9"/>
        <v>High</v>
      </c>
      <c r="L125" s="65" t="str">
        <f t="shared" si="10"/>
        <v>High</v>
      </c>
      <c r="M125" s="70" t="str">
        <f t="shared" si="11"/>
        <v>3C</v>
      </c>
    </row>
    <row r="126" spans="1:13" hidden="1" x14ac:dyDescent="0.25">
      <c r="A126" s="76">
        <v>2834</v>
      </c>
      <c r="B126" s="12" t="s">
        <v>308</v>
      </c>
      <c r="C126" s="66" t="s">
        <v>436</v>
      </c>
      <c r="D126" s="12" t="s">
        <v>586</v>
      </c>
      <c r="E126" s="12" t="s">
        <v>592</v>
      </c>
      <c r="F126" s="12" t="s">
        <v>463</v>
      </c>
      <c r="G126" s="12" t="s">
        <v>464</v>
      </c>
      <c r="H126" s="65">
        <v>4</v>
      </c>
      <c r="I126" s="65">
        <v>4</v>
      </c>
      <c r="J126" s="65">
        <v>4</v>
      </c>
      <c r="K126" s="65" t="str">
        <f t="shared" si="9"/>
        <v>Average</v>
      </c>
      <c r="L126" s="65" t="str">
        <f t="shared" si="10"/>
        <v>Medium</v>
      </c>
      <c r="M126" s="70" t="str">
        <f t="shared" si="11"/>
        <v>2B</v>
      </c>
    </row>
    <row r="127" spans="1:13" x14ac:dyDescent="0.25">
      <c r="A127" s="76">
        <v>10847</v>
      </c>
      <c r="B127" s="12" t="s">
        <v>89</v>
      </c>
      <c r="C127" s="66" t="s">
        <v>90</v>
      </c>
      <c r="D127" s="12" t="s">
        <v>586</v>
      </c>
      <c r="E127" s="12" t="s">
        <v>559</v>
      </c>
      <c r="F127" s="12" t="s">
        <v>91</v>
      </c>
      <c r="G127" s="12" t="s">
        <v>88</v>
      </c>
      <c r="H127" s="65">
        <v>4.2</v>
      </c>
      <c r="I127" s="65">
        <v>4</v>
      </c>
      <c r="J127" s="65">
        <v>4.3</v>
      </c>
      <c r="K127" s="65" t="str">
        <f t="shared" si="9"/>
        <v>Average</v>
      </c>
      <c r="L127" s="65" t="str">
        <f t="shared" si="10"/>
        <v>Medium</v>
      </c>
      <c r="M127" s="70" t="str">
        <f t="shared" si="11"/>
        <v>2B</v>
      </c>
    </row>
    <row r="128" spans="1:13" hidden="1" x14ac:dyDescent="0.25">
      <c r="A128" s="76">
        <v>10831</v>
      </c>
      <c r="B128" s="12" t="s">
        <v>432</v>
      </c>
      <c r="C128" s="66" t="s">
        <v>433</v>
      </c>
      <c r="D128" s="12" t="s">
        <v>586</v>
      </c>
      <c r="E128" s="12" t="s">
        <v>591</v>
      </c>
      <c r="F128" s="12" t="s">
        <v>249</v>
      </c>
      <c r="G128" s="12" t="s">
        <v>250</v>
      </c>
      <c r="H128" s="65">
        <v>4.7</v>
      </c>
      <c r="I128" s="65">
        <v>4.4000000000000004</v>
      </c>
      <c r="J128" s="65">
        <v>5</v>
      </c>
      <c r="K128" s="65" t="str">
        <f t="shared" si="9"/>
        <v>High</v>
      </c>
      <c r="L128" s="65" t="str">
        <f t="shared" si="10"/>
        <v>High</v>
      </c>
      <c r="M128" s="70" t="str">
        <f t="shared" si="11"/>
        <v>3C</v>
      </c>
    </row>
    <row r="129" spans="1:13" hidden="1" x14ac:dyDescent="0.25">
      <c r="A129" s="76">
        <v>2152</v>
      </c>
      <c r="B129" s="12" t="s">
        <v>173</v>
      </c>
      <c r="C129" s="66" t="s">
        <v>145</v>
      </c>
      <c r="D129" s="12" t="s">
        <v>586</v>
      </c>
      <c r="E129" s="12" t="s">
        <v>560</v>
      </c>
      <c r="F129" s="12" t="s">
        <v>415</v>
      </c>
      <c r="G129" s="12" t="s">
        <v>413</v>
      </c>
      <c r="H129" s="65">
        <v>4.5999999999999996</v>
      </c>
      <c r="I129" s="65">
        <v>4.8</v>
      </c>
      <c r="J129" s="65">
        <v>4.3</v>
      </c>
      <c r="K129" s="65" t="str">
        <f t="shared" si="9"/>
        <v>High</v>
      </c>
      <c r="L129" s="65" t="str">
        <f t="shared" si="10"/>
        <v>Medium</v>
      </c>
      <c r="M129" s="70" t="str">
        <f t="shared" si="11"/>
        <v>2C</v>
      </c>
    </row>
    <row r="130" spans="1:13" x14ac:dyDescent="0.25">
      <c r="A130" s="87">
        <v>6627</v>
      </c>
      <c r="B130" s="73" t="s">
        <v>392</v>
      </c>
      <c r="C130" s="74" t="s">
        <v>25</v>
      </c>
      <c r="D130" s="73" t="s">
        <v>587</v>
      </c>
      <c r="E130" s="73" t="s">
        <v>559</v>
      </c>
      <c r="F130" s="73" t="s">
        <v>51</v>
      </c>
      <c r="G130" s="73" t="s">
        <v>65</v>
      </c>
      <c r="H130" s="47" t="s">
        <v>19</v>
      </c>
      <c r="I130" s="47" t="s">
        <v>19</v>
      </c>
      <c r="J130" s="47" t="s">
        <v>19</v>
      </c>
      <c r="K130" s="47" t="str">
        <f t="shared" si="9"/>
        <v>NA</v>
      </c>
      <c r="L130" s="47" t="str">
        <f t="shared" si="10"/>
        <v>NA</v>
      </c>
      <c r="M130" s="92" t="str">
        <f t="shared" si="11"/>
        <v/>
      </c>
    </row>
    <row r="131" spans="1:13" x14ac:dyDescent="0.25">
      <c r="A131" s="76">
        <v>6546</v>
      </c>
      <c r="B131" s="12" t="s">
        <v>394</v>
      </c>
      <c r="C131" s="66" t="s">
        <v>25</v>
      </c>
      <c r="D131" s="12" t="s">
        <v>587</v>
      </c>
      <c r="E131" s="12" t="s">
        <v>559</v>
      </c>
      <c r="F131" s="12" t="s">
        <v>395</v>
      </c>
      <c r="G131" s="12" t="s">
        <v>384</v>
      </c>
      <c r="H131" s="65">
        <v>4.2</v>
      </c>
      <c r="I131" s="65">
        <v>4</v>
      </c>
      <c r="J131" s="65">
        <v>4.3</v>
      </c>
      <c r="K131" s="65" t="str">
        <f t="shared" si="9"/>
        <v>Average</v>
      </c>
      <c r="L131" s="65" t="str">
        <f t="shared" si="10"/>
        <v>Medium</v>
      </c>
      <c r="M131" s="70" t="str">
        <f t="shared" si="11"/>
        <v>2B</v>
      </c>
    </row>
    <row r="132" spans="1:13" hidden="1" x14ac:dyDescent="0.25">
      <c r="A132" s="76">
        <v>6558</v>
      </c>
      <c r="B132" s="12" t="s">
        <v>351</v>
      </c>
      <c r="C132" s="66" t="s">
        <v>25</v>
      </c>
      <c r="D132" s="12" t="s">
        <v>587</v>
      </c>
      <c r="E132" s="12" t="s">
        <v>558</v>
      </c>
      <c r="F132" s="12" t="s">
        <v>318</v>
      </c>
      <c r="G132" s="12" t="s">
        <v>319</v>
      </c>
      <c r="H132" s="65">
        <v>3.8</v>
      </c>
      <c r="I132" s="65">
        <v>3.8</v>
      </c>
      <c r="J132" s="65">
        <v>3.7</v>
      </c>
      <c r="K132" s="65" t="str">
        <f t="shared" si="9"/>
        <v>Average</v>
      </c>
      <c r="L132" s="65" t="str">
        <f t="shared" si="10"/>
        <v>Medium</v>
      </c>
      <c r="M132" s="70" t="str">
        <f t="shared" si="11"/>
        <v>2B</v>
      </c>
    </row>
    <row r="133" spans="1:13" hidden="1" x14ac:dyDescent="0.25">
      <c r="A133" s="76">
        <v>10311</v>
      </c>
      <c r="B133" s="12" t="s">
        <v>353</v>
      </c>
      <c r="C133" s="66" t="s">
        <v>182</v>
      </c>
      <c r="D133" s="12" t="s">
        <v>586</v>
      </c>
      <c r="E133" s="12" t="s">
        <v>558</v>
      </c>
      <c r="F133" s="12" t="s">
        <v>315</v>
      </c>
      <c r="G133" s="12" t="s">
        <v>316</v>
      </c>
      <c r="H133" s="65">
        <v>3.5</v>
      </c>
      <c r="I133" s="65">
        <v>3.5</v>
      </c>
      <c r="J133" s="65">
        <v>3.5</v>
      </c>
      <c r="K133" s="65" t="str">
        <f t="shared" si="9"/>
        <v>Average</v>
      </c>
      <c r="L133" s="65" t="str">
        <f t="shared" si="10"/>
        <v>Medium</v>
      </c>
      <c r="M133" s="70" t="str">
        <f t="shared" si="11"/>
        <v>2B</v>
      </c>
    </row>
    <row r="134" spans="1:13" hidden="1" x14ac:dyDescent="0.25">
      <c r="A134" s="76">
        <v>48294</v>
      </c>
      <c r="B134" s="12" t="s">
        <v>41</v>
      </c>
      <c r="C134" s="66" t="s">
        <v>42</v>
      </c>
      <c r="D134" s="12" t="s">
        <v>587</v>
      </c>
      <c r="E134" s="12" t="s">
        <v>589</v>
      </c>
      <c r="F134" s="12" t="s">
        <v>22</v>
      </c>
      <c r="G134" s="12" t="s">
        <v>23</v>
      </c>
      <c r="H134" s="65">
        <v>3.4</v>
      </c>
      <c r="I134" s="65">
        <v>3.5</v>
      </c>
      <c r="J134" s="65">
        <v>3.2</v>
      </c>
      <c r="K134" s="65" t="str">
        <f t="shared" si="9"/>
        <v>Average</v>
      </c>
      <c r="L134" s="65" t="str">
        <f t="shared" si="10"/>
        <v>Medium</v>
      </c>
      <c r="M134" s="70" t="str">
        <f t="shared" si="11"/>
        <v>2B</v>
      </c>
    </row>
    <row r="135" spans="1:13" x14ac:dyDescent="0.25">
      <c r="A135" s="76">
        <v>6550</v>
      </c>
      <c r="B135" s="12" t="s">
        <v>65</v>
      </c>
      <c r="C135" s="66" t="s">
        <v>25</v>
      </c>
      <c r="D135" s="12" t="s">
        <v>587</v>
      </c>
      <c r="E135" s="12" t="s">
        <v>559</v>
      </c>
      <c r="F135" s="12" t="s">
        <v>393</v>
      </c>
      <c r="G135" s="12" t="s">
        <v>394</v>
      </c>
      <c r="H135" s="65">
        <v>4.8</v>
      </c>
      <c r="I135" s="65">
        <v>4.7</v>
      </c>
      <c r="J135" s="65">
        <v>4.8</v>
      </c>
      <c r="K135" s="65" t="str">
        <f t="shared" si="9"/>
        <v>High</v>
      </c>
      <c r="L135" s="65" t="str">
        <f t="shared" si="10"/>
        <v>High</v>
      </c>
      <c r="M135" s="70" t="str">
        <f t="shared" si="11"/>
        <v>3C</v>
      </c>
    </row>
    <row r="136" spans="1:13" hidden="1" x14ac:dyDescent="0.25">
      <c r="A136" s="76">
        <v>49236</v>
      </c>
      <c r="B136" s="12" t="s">
        <v>226</v>
      </c>
      <c r="C136" s="66" t="s">
        <v>227</v>
      </c>
      <c r="D136" s="12" t="s">
        <v>587</v>
      </c>
      <c r="E136" s="12" t="s">
        <v>591</v>
      </c>
      <c r="F136" s="12" t="s">
        <v>228</v>
      </c>
      <c r="G136" s="12" t="s">
        <v>215</v>
      </c>
      <c r="H136" s="65">
        <v>3.4</v>
      </c>
      <c r="I136" s="65">
        <v>3.5</v>
      </c>
      <c r="J136" s="65">
        <v>3.3</v>
      </c>
      <c r="K136" s="65" t="str">
        <f t="shared" si="9"/>
        <v>Average</v>
      </c>
      <c r="L136" s="65" t="str">
        <f t="shared" si="10"/>
        <v>Medium</v>
      </c>
      <c r="M136" s="70" t="str">
        <f t="shared" si="11"/>
        <v>2B</v>
      </c>
    </row>
    <row r="137" spans="1:13" hidden="1" x14ac:dyDescent="0.25">
      <c r="A137" s="76">
        <v>6590</v>
      </c>
      <c r="B137" s="12" t="s">
        <v>208</v>
      </c>
      <c r="C137" s="66" t="s">
        <v>25</v>
      </c>
      <c r="D137" s="12" t="s">
        <v>587</v>
      </c>
      <c r="E137" s="12" t="s">
        <v>591</v>
      </c>
      <c r="F137" s="12" t="s">
        <v>209</v>
      </c>
      <c r="G137" s="12" t="s">
        <v>200</v>
      </c>
      <c r="H137" s="65">
        <v>3</v>
      </c>
      <c r="I137" s="65">
        <v>3</v>
      </c>
      <c r="J137" s="65">
        <v>3</v>
      </c>
      <c r="K137" s="65" t="str">
        <f t="shared" si="9"/>
        <v>Poor</v>
      </c>
      <c r="L137" s="65" t="str">
        <f t="shared" si="10"/>
        <v>Medium</v>
      </c>
      <c r="M137" s="70" t="str">
        <f t="shared" si="11"/>
        <v>2A</v>
      </c>
    </row>
    <row r="138" spans="1:13" x14ac:dyDescent="0.25">
      <c r="A138" s="76">
        <v>6551</v>
      </c>
      <c r="B138" s="12" t="s">
        <v>76</v>
      </c>
      <c r="C138" s="66" t="s">
        <v>25</v>
      </c>
      <c r="D138" s="12" t="s">
        <v>587</v>
      </c>
      <c r="E138" s="12" t="s">
        <v>559</v>
      </c>
      <c r="F138" s="12" t="s">
        <v>390</v>
      </c>
      <c r="G138" s="12" t="s">
        <v>65</v>
      </c>
      <c r="H138" s="65">
        <v>4.0999999999999996</v>
      </c>
      <c r="I138" s="65">
        <v>4.3</v>
      </c>
      <c r="J138" s="65">
        <v>3.8</v>
      </c>
      <c r="K138" s="65" t="str">
        <f t="shared" si="9"/>
        <v>Average</v>
      </c>
      <c r="L138" s="65" t="str">
        <f t="shared" si="10"/>
        <v>Medium</v>
      </c>
      <c r="M138" s="70" t="str">
        <f t="shared" si="11"/>
        <v>2B</v>
      </c>
    </row>
    <row r="139" spans="1:13" hidden="1" x14ac:dyDescent="0.25">
      <c r="A139" s="76">
        <v>6593</v>
      </c>
      <c r="B139" s="12" t="s">
        <v>40</v>
      </c>
      <c r="C139" s="66" t="s">
        <v>25</v>
      </c>
      <c r="D139" s="12" t="s">
        <v>587</v>
      </c>
      <c r="E139" s="12" t="s">
        <v>589</v>
      </c>
      <c r="F139" s="12" t="s">
        <v>39</v>
      </c>
      <c r="G139" s="12" t="s">
        <v>23</v>
      </c>
      <c r="H139" s="65">
        <v>3</v>
      </c>
      <c r="I139" s="65">
        <v>3</v>
      </c>
      <c r="J139" s="65">
        <v>3</v>
      </c>
      <c r="K139" s="65" t="str">
        <f t="shared" si="9"/>
        <v>Poor</v>
      </c>
      <c r="L139" s="65" t="str">
        <f t="shared" si="10"/>
        <v>Medium</v>
      </c>
      <c r="M139" s="70" t="str">
        <f t="shared" si="11"/>
        <v>2A</v>
      </c>
    </row>
    <row r="140" spans="1:13" hidden="1" x14ac:dyDescent="0.25">
      <c r="A140" s="76">
        <v>6515</v>
      </c>
      <c r="B140" s="12" t="s">
        <v>311</v>
      </c>
      <c r="C140" s="66" t="s">
        <v>312</v>
      </c>
      <c r="D140" s="12" t="s">
        <v>586</v>
      </c>
      <c r="E140" s="12" t="s">
        <v>592</v>
      </c>
      <c r="F140" s="12" t="s">
        <v>307</v>
      </c>
      <c r="G140" s="12" t="s">
        <v>308</v>
      </c>
      <c r="H140" s="65">
        <v>4.5999999999999996</v>
      </c>
      <c r="I140" s="65">
        <v>4.5999999999999996</v>
      </c>
      <c r="J140" s="65">
        <v>4.5</v>
      </c>
      <c r="K140" s="65" t="str">
        <f t="shared" si="9"/>
        <v>High</v>
      </c>
      <c r="L140" s="65" t="str">
        <f t="shared" si="10"/>
        <v>High</v>
      </c>
      <c r="M140" s="70" t="str">
        <f t="shared" si="11"/>
        <v>3C</v>
      </c>
    </row>
    <row r="141" spans="1:13" hidden="1" x14ac:dyDescent="0.25">
      <c r="A141" s="76">
        <v>48483</v>
      </c>
      <c r="B141" s="12" t="s">
        <v>251</v>
      </c>
      <c r="C141" s="66" t="s">
        <v>252</v>
      </c>
      <c r="D141" s="12" t="s">
        <v>586</v>
      </c>
      <c r="E141" s="12" t="s">
        <v>591</v>
      </c>
      <c r="F141" s="12" t="s">
        <v>253</v>
      </c>
      <c r="G141" s="12" t="s">
        <v>250</v>
      </c>
      <c r="H141" s="65">
        <v>4.3</v>
      </c>
      <c r="I141" s="65">
        <v>4.2</v>
      </c>
      <c r="J141" s="65">
        <v>4.3</v>
      </c>
      <c r="K141" s="65" t="str">
        <f t="shared" si="9"/>
        <v>Average</v>
      </c>
      <c r="L141" s="65" t="str">
        <f t="shared" si="10"/>
        <v>Medium</v>
      </c>
      <c r="M141" s="70" t="str">
        <f t="shared" si="11"/>
        <v>2B</v>
      </c>
    </row>
    <row r="142" spans="1:13" hidden="1" x14ac:dyDescent="0.25">
      <c r="A142" s="76">
        <v>6651</v>
      </c>
      <c r="B142" s="12" t="s">
        <v>200</v>
      </c>
      <c r="C142" s="66" t="s">
        <v>244</v>
      </c>
      <c r="D142" s="12" t="s">
        <v>585</v>
      </c>
      <c r="E142" s="12" t="s">
        <v>591</v>
      </c>
      <c r="F142" s="12" t="s">
        <v>221</v>
      </c>
      <c r="G142" s="12" t="s">
        <v>196</v>
      </c>
      <c r="H142" s="65">
        <v>4</v>
      </c>
      <c r="I142" s="65">
        <v>4</v>
      </c>
      <c r="J142" s="65">
        <v>4</v>
      </c>
      <c r="K142" s="65" t="str">
        <f t="shared" ref="K142:K173" si="12">IF(H142="","",
IF(OR(H142="NR",H142="NA"),"NA",
IF(H142&lt;$K$4,$J$4,
IF(H142&lt;$K$5,$J$5,$J$6)
)))</f>
        <v>Average</v>
      </c>
      <c r="L142" s="65" t="str">
        <f t="shared" ref="L142:L173" si="13">IF(J142="","",
IF(OR(J142="NR",J142="NA"),"NA",
IF(J142&lt;$N$4,$M$4,
IF(J142&lt;$N$5,$M$5,$M$6)
)))</f>
        <v>Medium</v>
      </c>
      <c r="M142" s="70" t="str">
        <f t="shared" ref="M142:M173" si="14">IF(OR(K142="",L142=""),"",
IF(AND(K142=$J$6,L142=$M$6),"3C",
IF(AND(K142=$J$5,L142=$M$6),"3B",
IF(AND(K142=$J$4,L142=$M$6),"3A",
IF(AND(K142=$J$6,L142=$M$5),"2C",
IF(AND(K142=$J$5,L142=$M$5),"2B",
IF(AND(K142=$J$4,L142=$M$5),"2A",
IF(AND(K142=$J$6,L142=$M$4),"1C",
IF(AND(K142=$J$5,L142=$M$4),"1B",
IF(AND(K142=$J$4,L142=$M$4),"1A","")
)))))))))</f>
        <v>2B</v>
      </c>
    </row>
    <row r="143" spans="1:13" hidden="1" x14ac:dyDescent="0.25">
      <c r="A143" s="76">
        <v>6556</v>
      </c>
      <c r="B143" s="12" t="s">
        <v>352</v>
      </c>
      <c r="C143" s="66" t="s">
        <v>25</v>
      </c>
      <c r="D143" s="12" t="s">
        <v>587</v>
      </c>
      <c r="E143" s="12" t="s">
        <v>558</v>
      </c>
      <c r="F143" s="12" t="s">
        <v>321</v>
      </c>
      <c r="G143" s="12" t="s">
        <v>319</v>
      </c>
      <c r="H143" s="65">
        <v>3.8</v>
      </c>
      <c r="I143" s="65">
        <v>3.9</v>
      </c>
      <c r="J143" s="65">
        <v>3.7</v>
      </c>
      <c r="K143" s="65" t="str">
        <f t="shared" si="12"/>
        <v>Average</v>
      </c>
      <c r="L143" s="65" t="str">
        <f t="shared" si="13"/>
        <v>Medium</v>
      </c>
      <c r="M143" s="70" t="str">
        <f t="shared" si="14"/>
        <v>2B</v>
      </c>
    </row>
    <row r="144" spans="1:13" hidden="1" x14ac:dyDescent="0.25">
      <c r="A144" s="76">
        <v>48408</v>
      </c>
      <c r="B144" s="12" t="s">
        <v>210</v>
      </c>
      <c r="C144" s="66" t="s">
        <v>211</v>
      </c>
      <c r="D144" s="12" t="s">
        <v>585</v>
      </c>
      <c r="E144" s="12" t="s">
        <v>591</v>
      </c>
      <c r="F144" s="12" t="s">
        <v>195</v>
      </c>
      <c r="G144" s="12" t="s">
        <v>196</v>
      </c>
      <c r="H144" s="65">
        <v>3</v>
      </c>
      <c r="I144" s="65">
        <v>3</v>
      </c>
      <c r="J144" s="65">
        <v>3</v>
      </c>
      <c r="K144" s="65" t="str">
        <f t="shared" si="12"/>
        <v>Poor</v>
      </c>
      <c r="L144" s="65" t="str">
        <f t="shared" si="13"/>
        <v>Medium</v>
      </c>
      <c r="M144" s="70" t="str">
        <f t="shared" si="14"/>
        <v>2A</v>
      </c>
    </row>
    <row r="145" spans="1:13" hidden="1" x14ac:dyDescent="0.25">
      <c r="A145" s="76">
        <v>50039</v>
      </c>
      <c r="B145" s="12" t="s">
        <v>212</v>
      </c>
      <c r="C145" s="66" t="s">
        <v>213</v>
      </c>
      <c r="D145" s="12" t="s">
        <v>587</v>
      </c>
      <c r="E145" s="12" t="s">
        <v>591</v>
      </c>
      <c r="F145" s="12" t="s">
        <v>214</v>
      </c>
      <c r="G145" s="12" t="s">
        <v>215</v>
      </c>
      <c r="H145" s="65">
        <v>3</v>
      </c>
      <c r="I145" s="65">
        <v>3</v>
      </c>
      <c r="J145" s="65">
        <v>3</v>
      </c>
      <c r="K145" s="65" t="str">
        <f t="shared" si="12"/>
        <v>Poor</v>
      </c>
      <c r="L145" s="65" t="str">
        <f t="shared" si="13"/>
        <v>Medium</v>
      </c>
      <c r="M145" s="70" t="str">
        <f t="shared" si="14"/>
        <v>2A</v>
      </c>
    </row>
    <row r="146" spans="1:13" hidden="1" x14ac:dyDescent="0.25">
      <c r="A146" s="76">
        <v>6562</v>
      </c>
      <c r="B146" s="12" t="s">
        <v>354</v>
      </c>
      <c r="C146" s="66" t="s">
        <v>25</v>
      </c>
      <c r="D146" s="12" t="s">
        <v>587</v>
      </c>
      <c r="E146" s="12" t="s">
        <v>558</v>
      </c>
      <c r="F146" s="12" t="s">
        <v>321</v>
      </c>
      <c r="G146" s="12" t="s">
        <v>319</v>
      </c>
      <c r="H146" s="65">
        <v>3.9</v>
      </c>
      <c r="I146" s="65">
        <v>3.7</v>
      </c>
      <c r="J146" s="65">
        <v>4</v>
      </c>
      <c r="K146" s="65" t="str">
        <f t="shared" si="12"/>
        <v>Average</v>
      </c>
      <c r="L146" s="65" t="str">
        <f t="shared" si="13"/>
        <v>Medium</v>
      </c>
      <c r="M146" s="70" t="str">
        <f t="shared" si="14"/>
        <v>2B</v>
      </c>
    </row>
    <row r="147" spans="1:13" x14ac:dyDescent="0.25">
      <c r="A147" s="76">
        <v>48842</v>
      </c>
      <c r="B147" s="12" t="s">
        <v>128</v>
      </c>
      <c r="C147" s="66" t="s">
        <v>129</v>
      </c>
      <c r="D147" s="12" t="s">
        <v>585</v>
      </c>
      <c r="E147" s="12" t="s">
        <v>556</v>
      </c>
      <c r="F147" s="12" t="s">
        <v>99</v>
      </c>
      <c r="G147" s="12" t="s">
        <v>107</v>
      </c>
      <c r="H147" s="65">
        <v>4.8</v>
      </c>
      <c r="I147" s="65">
        <v>4.8</v>
      </c>
      <c r="J147" s="65">
        <v>4.7</v>
      </c>
      <c r="K147" s="65" t="str">
        <f t="shared" si="12"/>
        <v>High</v>
      </c>
      <c r="L147" s="65" t="str">
        <f t="shared" si="13"/>
        <v>High</v>
      </c>
      <c r="M147" s="70" t="str">
        <f t="shared" si="14"/>
        <v>3C</v>
      </c>
    </row>
    <row r="148" spans="1:13" hidden="1" x14ac:dyDescent="0.25">
      <c r="A148" s="76">
        <v>6608</v>
      </c>
      <c r="B148" s="12" t="s">
        <v>43</v>
      </c>
      <c r="C148" s="66" t="s">
        <v>25</v>
      </c>
      <c r="D148" s="12" t="s">
        <v>587</v>
      </c>
      <c r="E148" s="12" t="s">
        <v>589</v>
      </c>
      <c r="F148" s="12" t="s">
        <v>39</v>
      </c>
      <c r="G148" s="12" t="s">
        <v>23</v>
      </c>
      <c r="H148" s="65">
        <v>3</v>
      </c>
      <c r="I148" s="65">
        <v>3</v>
      </c>
      <c r="J148" s="65">
        <v>3</v>
      </c>
      <c r="K148" s="65" t="str">
        <f t="shared" si="12"/>
        <v>Poor</v>
      </c>
      <c r="L148" s="65" t="str">
        <f t="shared" si="13"/>
        <v>Medium</v>
      </c>
      <c r="M148" s="70" t="str">
        <f t="shared" si="14"/>
        <v>2A</v>
      </c>
    </row>
    <row r="149" spans="1:13" hidden="1" x14ac:dyDescent="0.25">
      <c r="A149" s="76">
        <v>6547</v>
      </c>
      <c r="B149" s="12" t="s">
        <v>355</v>
      </c>
      <c r="C149" s="66" t="s">
        <v>25</v>
      </c>
      <c r="D149" s="12" t="s">
        <v>587</v>
      </c>
      <c r="E149" s="12" t="s">
        <v>558</v>
      </c>
      <c r="F149" s="12" t="s">
        <v>356</v>
      </c>
      <c r="G149" s="12" t="s">
        <v>319</v>
      </c>
      <c r="H149" s="65">
        <v>4</v>
      </c>
      <c r="I149" s="65">
        <v>4</v>
      </c>
      <c r="J149" s="65">
        <v>4</v>
      </c>
      <c r="K149" s="65" t="str">
        <f t="shared" si="12"/>
        <v>Average</v>
      </c>
      <c r="L149" s="65" t="str">
        <f t="shared" si="13"/>
        <v>Medium</v>
      </c>
      <c r="M149" s="70" t="str">
        <f t="shared" si="14"/>
        <v>2B</v>
      </c>
    </row>
    <row r="150" spans="1:13" hidden="1" x14ac:dyDescent="0.25">
      <c r="A150" s="76">
        <v>48410</v>
      </c>
      <c r="B150" s="12" t="s">
        <v>44</v>
      </c>
      <c r="C150" s="66" t="s">
        <v>45</v>
      </c>
      <c r="D150" s="12" t="s">
        <v>587</v>
      </c>
      <c r="E150" s="12" t="s">
        <v>589</v>
      </c>
      <c r="F150" s="12" t="s">
        <v>39</v>
      </c>
      <c r="G150" s="12" t="s">
        <v>23</v>
      </c>
      <c r="H150" s="65">
        <v>3.6</v>
      </c>
      <c r="I150" s="65">
        <v>3.5</v>
      </c>
      <c r="J150" s="65">
        <v>3.7</v>
      </c>
      <c r="K150" s="65" t="str">
        <f t="shared" si="12"/>
        <v>Average</v>
      </c>
      <c r="L150" s="65" t="str">
        <f t="shared" si="13"/>
        <v>Medium</v>
      </c>
      <c r="M150" s="70" t="str">
        <f t="shared" si="14"/>
        <v>2B</v>
      </c>
    </row>
    <row r="151" spans="1:13" x14ac:dyDescent="0.25">
      <c r="A151" s="87">
        <v>47492</v>
      </c>
      <c r="B151" s="73" t="s">
        <v>130</v>
      </c>
      <c r="C151" s="74" t="s">
        <v>131</v>
      </c>
      <c r="D151" s="73" t="s">
        <v>585</v>
      </c>
      <c r="E151" s="73" t="s">
        <v>556</v>
      </c>
      <c r="F151" s="73" t="s">
        <v>132</v>
      </c>
      <c r="G151" s="73" t="s">
        <v>127</v>
      </c>
      <c r="H151" s="47" t="s">
        <v>19</v>
      </c>
      <c r="I151" s="47" t="s">
        <v>19</v>
      </c>
      <c r="J151" s="47" t="s">
        <v>19</v>
      </c>
      <c r="K151" s="47" t="str">
        <f t="shared" si="12"/>
        <v>NA</v>
      </c>
      <c r="L151" s="47" t="str">
        <f t="shared" si="13"/>
        <v>NA</v>
      </c>
      <c r="M151" s="92" t="str">
        <f t="shared" si="14"/>
        <v/>
      </c>
    </row>
    <row r="152" spans="1:13" hidden="1" x14ac:dyDescent="0.25">
      <c r="A152" s="76">
        <v>10851</v>
      </c>
      <c r="B152" s="12" t="s">
        <v>46</v>
      </c>
      <c r="C152" s="66" t="s">
        <v>47</v>
      </c>
      <c r="D152" s="12" t="s">
        <v>586</v>
      </c>
      <c r="E152" s="12" t="s">
        <v>589</v>
      </c>
      <c r="F152" s="12" t="s">
        <v>48</v>
      </c>
      <c r="G152" s="12" t="s">
        <v>29</v>
      </c>
      <c r="H152" s="65">
        <v>4.0999999999999996</v>
      </c>
      <c r="I152" s="65">
        <v>4.2</v>
      </c>
      <c r="J152" s="65">
        <v>4</v>
      </c>
      <c r="K152" s="65" t="str">
        <f t="shared" si="12"/>
        <v>Average</v>
      </c>
      <c r="L152" s="65" t="str">
        <f t="shared" si="13"/>
        <v>Medium</v>
      </c>
      <c r="M152" s="70" t="str">
        <f t="shared" si="14"/>
        <v>2B</v>
      </c>
    </row>
    <row r="153" spans="1:13" hidden="1" x14ac:dyDescent="0.25">
      <c r="A153" s="76">
        <v>48222</v>
      </c>
      <c r="B153" s="12" t="s">
        <v>187</v>
      </c>
      <c r="C153" s="66" t="s">
        <v>188</v>
      </c>
      <c r="D153" s="12" t="s">
        <v>585</v>
      </c>
      <c r="E153" s="12" t="s">
        <v>574</v>
      </c>
      <c r="F153" s="12" t="s">
        <v>189</v>
      </c>
      <c r="G153" s="12" t="s">
        <v>151</v>
      </c>
      <c r="H153" s="65">
        <v>5</v>
      </c>
      <c r="I153" s="65">
        <v>5</v>
      </c>
      <c r="J153" s="65">
        <v>5</v>
      </c>
      <c r="K153" s="65" t="str">
        <f t="shared" si="12"/>
        <v>High</v>
      </c>
      <c r="L153" s="65" t="str">
        <f t="shared" si="13"/>
        <v>High</v>
      </c>
      <c r="M153" s="70" t="str">
        <f t="shared" si="14"/>
        <v>3C</v>
      </c>
    </row>
    <row r="154" spans="1:13" x14ac:dyDescent="0.25">
      <c r="A154" s="76">
        <v>50190</v>
      </c>
      <c r="B154" s="12" t="s">
        <v>77</v>
      </c>
      <c r="C154" s="66" t="s">
        <v>78</v>
      </c>
      <c r="D154" s="12" t="s">
        <v>587</v>
      </c>
      <c r="E154" s="12" t="s">
        <v>559</v>
      </c>
      <c r="F154" s="12" t="s">
        <v>61</v>
      </c>
      <c r="G154" s="12" t="s">
        <v>69</v>
      </c>
      <c r="H154" s="65">
        <v>3.9</v>
      </c>
      <c r="I154" s="65">
        <v>4</v>
      </c>
      <c r="J154" s="65">
        <v>3.8</v>
      </c>
      <c r="K154" s="65" t="str">
        <f t="shared" si="12"/>
        <v>Average</v>
      </c>
      <c r="L154" s="65" t="str">
        <f t="shared" si="13"/>
        <v>Medium</v>
      </c>
      <c r="M154" s="70" t="str">
        <f t="shared" si="14"/>
        <v>2B</v>
      </c>
    </row>
    <row r="155" spans="1:13" hidden="1" x14ac:dyDescent="0.25">
      <c r="A155" s="76">
        <v>10114</v>
      </c>
      <c r="B155" s="12" t="s">
        <v>386</v>
      </c>
      <c r="C155" s="66" t="s">
        <v>423</v>
      </c>
      <c r="D155" s="12" t="s">
        <v>586</v>
      </c>
      <c r="E155" s="12" t="s">
        <v>596</v>
      </c>
      <c r="F155" s="12" t="s">
        <v>424</v>
      </c>
      <c r="G155" s="12" t="s">
        <v>151</v>
      </c>
      <c r="H155" s="65">
        <v>5</v>
      </c>
      <c r="I155" s="65">
        <v>5</v>
      </c>
      <c r="J155" s="65">
        <v>5</v>
      </c>
      <c r="K155" s="65" t="str">
        <f t="shared" si="12"/>
        <v>High</v>
      </c>
      <c r="L155" s="65" t="str">
        <f t="shared" si="13"/>
        <v>High</v>
      </c>
      <c r="M155" s="70" t="str">
        <f t="shared" si="14"/>
        <v>3C</v>
      </c>
    </row>
    <row r="156" spans="1:13" x14ac:dyDescent="0.25">
      <c r="A156" s="76">
        <v>49940</v>
      </c>
      <c r="B156" s="12" t="s">
        <v>79</v>
      </c>
      <c r="C156" s="66" t="s">
        <v>60</v>
      </c>
      <c r="D156" s="12" t="s">
        <v>587</v>
      </c>
      <c r="E156" s="12" t="s">
        <v>559</v>
      </c>
      <c r="F156" s="12" t="s">
        <v>80</v>
      </c>
      <c r="G156" s="12" t="s">
        <v>52</v>
      </c>
      <c r="H156" s="65">
        <v>3.6</v>
      </c>
      <c r="I156" s="65">
        <v>3.5</v>
      </c>
      <c r="J156" s="65">
        <v>3.7</v>
      </c>
      <c r="K156" s="65" t="str">
        <f t="shared" si="12"/>
        <v>Average</v>
      </c>
      <c r="L156" s="65" t="str">
        <f t="shared" si="13"/>
        <v>Medium</v>
      </c>
      <c r="M156" s="70" t="str">
        <f t="shared" si="14"/>
        <v>2B</v>
      </c>
    </row>
    <row r="157" spans="1:13" x14ac:dyDescent="0.25">
      <c r="A157" s="76">
        <v>10308</v>
      </c>
      <c r="B157" s="12" t="s">
        <v>92</v>
      </c>
      <c r="C157" s="66" t="s">
        <v>93</v>
      </c>
      <c r="D157" s="12" t="s">
        <v>586</v>
      </c>
      <c r="E157" s="12" t="s">
        <v>559</v>
      </c>
      <c r="F157" s="12" t="s">
        <v>91</v>
      </c>
      <c r="G157" s="12" t="s">
        <v>88</v>
      </c>
      <c r="H157" s="65">
        <v>4.2</v>
      </c>
      <c r="I157" s="65">
        <v>4.3</v>
      </c>
      <c r="J157" s="65">
        <v>4</v>
      </c>
      <c r="K157" s="65" t="str">
        <f t="shared" si="12"/>
        <v>Average</v>
      </c>
      <c r="L157" s="65" t="str">
        <f t="shared" si="13"/>
        <v>Medium</v>
      </c>
      <c r="M157" s="70" t="str">
        <f t="shared" si="14"/>
        <v>2B</v>
      </c>
    </row>
    <row r="158" spans="1:13" hidden="1" x14ac:dyDescent="0.25">
      <c r="A158" s="76">
        <v>4708</v>
      </c>
      <c r="B158" s="12" t="s">
        <v>333</v>
      </c>
      <c r="C158" s="66" t="s">
        <v>145</v>
      </c>
      <c r="D158" s="12" t="s">
        <v>586</v>
      </c>
      <c r="E158" s="12" t="s">
        <v>558</v>
      </c>
      <c r="F158" s="12" t="s">
        <v>466</v>
      </c>
      <c r="G158" s="12" t="s">
        <v>316</v>
      </c>
      <c r="H158" s="65">
        <v>5</v>
      </c>
      <c r="I158" s="65">
        <v>5</v>
      </c>
      <c r="J158" s="65">
        <v>5</v>
      </c>
      <c r="K158" s="65" t="str">
        <f t="shared" si="12"/>
        <v>High</v>
      </c>
      <c r="L158" s="65" t="str">
        <f t="shared" si="13"/>
        <v>High</v>
      </c>
      <c r="M158" s="70" t="str">
        <f t="shared" si="14"/>
        <v>3C</v>
      </c>
    </row>
    <row r="159" spans="1:13" hidden="1" x14ac:dyDescent="0.25">
      <c r="A159" s="76">
        <v>10841</v>
      </c>
      <c r="B159" s="12" t="s">
        <v>280</v>
      </c>
      <c r="C159" s="66" t="s">
        <v>281</v>
      </c>
      <c r="D159" s="12" t="s">
        <v>586</v>
      </c>
      <c r="E159" s="12" t="s">
        <v>595</v>
      </c>
      <c r="F159" s="12" t="s">
        <v>282</v>
      </c>
      <c r="G159" s="12" t="s">
        <v>283</v>
      </c>
      <c r="H159" s="65">
        <v>5</v>
      </c>
      <c r="I159" s="65">
        <v>5</v>
      </c>
      <c r="J159" s="65">
        <v>5</v>
      </c>
      <c r="K159" s="65" t="str">
        <f t="shared" si="12"/>
        <v>High</v>
      </c>
      <c r="L159" s="65" t="str">
        <f t="shared" si="13"/>
        <v>High</v>
      </c>
      <c r="M159" s="70" t="str">
        <f t="shared" si="14"/>
        <v>3C</v>
      </c>
    </row>
    <row r="160" spans="1:13" hidden="1" x14ac:dyDescent="0.25">
      <c r="A160" s="76">
        <v>50668</v>
      </c>
      <c r="B160" s="12" t="s">
        <v>216</v>
      </c>
      <c r="C160" s="66" t="s">
        <v>217</v>
      </c>
      <c r="D160" s="12" t="s">
        <v>585</v>
      </c>
      <c r="E160" s="12" t="s">
        <v>591</v>
      </c>
      <c r="F160" s="12" t="s">
        <v>195</v>
      </c>
      <c r="G160" s="12" t="s">
        <v>196</v>
      </c>
      <c r="H160" s="65">
        <v>3</v>
      </c>
      <c r="I160" s="65">
        <v>3</v>
      </c>
      <c r="J160" s="65">
        <v>3</v>
      </c>
      <c r="K160" s="65" t="str">
        <f t="shared" si="12"/>
        <v>Poor</v>
      </c>
      <c r="L160" s="65" t="str">
        <f t="shared" si="13"/>
        <v>Medium</v>
      </c>
      <c r="M160" s="70" t="str">
        <f t="shared" si="14"/>
        <v>2A</v>
      </c>
    </row>
    <row r="161" spans="1:13" x14ac:dyDescent="0.25">
      <c r="A161" s="76">
        <v>50484</v>
      </c>
      <c r="B161" s="12" t="s">
        <v>133</v>
      </c>
      <c r="C161" s="66" t="s">
        <v>134</v>
      </c>
      <c r="D161" s="12" t="s">
        <v>585</v>
      </c>
      <c r="E161" s="12" t="s">
        <v>556</v>
      </c>
      <c r="F161" s="12" t="s">
        <v>99</v>
      </c>
      <c r="G161" s="12" t="s">
        <v>121</v>
      </c>
      <c r="H161" s="65">
        <v>4</v>
      </c>
      <c r="I161" s="65">
        <v>0</v>
      </c>
      <c r="J161" s="65">
        <v>4</v>
      </c>
      <c r="K161" s="65" t="str">
        <f t="shared" si="12"/>
        <v>Average</v>
      </c>
      <c r="L161" s="65" t="str">
        <f t="shared" si="13"/>
        <v>Medium</v>
      </c>
      <c r="M161" s="70" t="str">
        <f t="shared" si="14"/>
        <v>2B</v>
      </c>
    </row>
    <row r="162" spans="1:13" hidden="1" x14ac:dyDescent="0.25">
      <c r="A162" s="76">
        <v>50886</v>
      </c>
      <c r="B162" s="12" t="s">
        <v>234</v>
      </c>
      <c r="C162" s="66" t="s">
        <v>235</v>
      </c>
      <c r="D162" s="12" t="s">
        <v>585</v>
      </c>
      <c r="E162" s="12" t="s">
        <v>591</v>
      </c>
      <c r="F162" s="12" t="s">
        <v>236</v>
      </c>
      <c r="G162" s="12" t="s">
        <v>237</v>
      </c>
      <c r="H162" s="65">
        <v>3.5</v>
      </c>
      <c r="I162" s="65">
        <v>0</v>
      </c>
      <c r="J162" s="65">
        <v>3.5</v>
      </c>
      <c r="K162" s="65" t="str">
        <f t="shared" si="12"/>
        <v>Average</v>
      </c>
      <c r="L162" s="65" t="str">
        <f t="shared" si="13"/>
        <v>Medium</v>
      </c>
      <c r="M162" s="70" t="str">
        <f t="shared" si="14"/>
        <v>2B</v>
      </c>
    </row>
    <row r="163" spans="1:13" hidden="1" x14ac:dyDescent="0.25">
      <c r="A163" s="76">
        <v>10832</v>
      </c>
      <c r="B163" s="12" t="s">
        <v>357</v>
      </c>
      <c r="C163" s="66" t="s">
        <v>346</v>
      </c>
      <c r="D163" s="12" t="s">
        <v>586</v>
      </c>
      <c r="E163" s="12" t="s">
        <v>558</v>
      </c>
      <c r="F163" s="12" t="s">
        <v>315</v>
      </c>
      <c r="G163" s="12" t="s">
        <v>316</v>
      </c>
      <c r="H163" s="65">
        <v>4.4000000000000004</v>
      </c>
      <c r="I163" s="65">
        <v>4.5</v>
      </c>
      <c r="J163" s="65">
        <v>4.3</v>
      </c>
      <c r="K163" s="65" t="str">
        <f t="shared" si="12"/>
        <v>High</v>
      </c>
      <c r="L163" s="65" t="str">
        <f t="shared" si="13"/>
        <v>Medium</v>
      </c>
      <c r="M163" s="70" t="str">
        <f t="shared" si="14"/>
        <v>2C</v>
      </c>
    </row>
    <row r="164" spans="1:13" hidden="1" x14ac:dyDescent="0.25">
      <c r="A164" s="76">
        <v>5905</v>
      </c>
      <c r="B164" s="12" t="s">
        <v>181</v>
      </c>
      <c r="C164" s="66" t="s">
        <v>182</v>
      </c>
      <c r="D164" s="12" t="s">
        <v>586</v>
      </c>
      <c r="E164" s="12" t="s">
        <v>560</v>
      </c>
      <c r="F164" s="12" t="s">
        <v>172</v>
      </c>
      <c r="G164" s="12" t="s">
        <v>173</v>
      </c>
      <c r="H164" s="65">
        <v>5</v>
      </c>
      <c r="I164" s="65">
        <v>5</v>
      </c>
      <c r="J164" s="65">
        <v>5</v>
      </c>
      <c r="K164" s="65" t="str">
        <f t="shared" si="12"/>
        <v>High</v>
      </c>
      <c r="L164" s="65" t="str">
        <f t="shared" si="13"/>
        <v>High</v>
      </c>
      <c r="M164" s="70" t="str">
        <f t="shared" si="14"/>
        <v>3C</v>
      </c>
    </row>
    <row r="165" spans="1:13" hidden="1" x14ac:dyDescent="0.25">
      <c r="A165" s="76">
        <v>31262</v>
      </c>
      <c r="B165" s="12" t="s">
        <v>259</v>
      </c>
      <c r="C165" s="66" t="s">
        <v>260</v>
      </c>
      <c r="D165" s="12" t="s">
        <v>585</v>
      </c>
      <c r="E165" s="12" t="s">
        <v>593</v>
      </c>
      <c r="F165" s="12" t="s">
        <v>261</v>
      </c>
      <c r="G165" s="12" t="s">
        <v>15</v>
      </c>
      <c r="H165" s="65">
        <v>5</v>
      </c>
      <c r="I165" s="65">
        <v>4.9000000000000004</v>
      </c>
      <c r="J165" s="65">
        <v>5</v>
      </c>
      <c r="K165" s="65" t="str">
        <f t="shared" si="12"/>
        <v>High</v>
      </c>
      <c r="L165" s="65" t="str">
        <f t="shared" si="13"/>
        <v>High</v>
      </c>
      <c r="M165" s="70" t="str">
        <f t="shared" si="14"/>
        <v>3C</v>
      </c>
    </row>
    <row r="166" spans="1:13" hidden="1" x14ac:dyDescent="0.25">
      <c r="A166" s="76">
        <v>6591</v>
      </c>
      <c r="B166" s="12" t="s">
        <v>279</v>
      </c>
      <c r="C166" s="66" t="s">
        <v>25</v>
      </c>
      <c r="D166" s="12" t="s">
        <v>587</v>
      </c>
      <c r="E166" s="12" t="s">
        <v>595</v>
      </c>
      <c r="F166" s="12" t="s">
        <v>453</v>
      </c>
      <c r="G166" s="12" t="s">
        <v>394</v>
      </c>
      <c r="H166" s="65">
        <v>4.9000000000000004</v>
      </c>
      <c r="I166" s="65">
        <v>5</v>
      </c>
      <c r="J166" s="65">
        <v>4.8</v>
      </c>
      <c r="K166" s="65" t="str">
        <f t="shared" si="12"/>
        <v>High</v>
      </c>
      <c r="L166" s="65" t="str">
        <f t="shared" si="13"/>
        <v>High</v>
      </c>
      <c r="M166" s="70" t="str">
        <f t="shared" si="14"/>
        <v>3C</v>
      </c>
    </row>
    <row r="167" spans="1:13" hidden="1" x14ac:dyDescent="0.25">
      <c r="A167" s="76">
        <v>50080</v>
      </c>
      <c r="B167" s="12" t="s">
        <v>358</v>
      </c>
      <c r="C167" s="66" t="s">
        <v>359</v>
      </c>
      <c r="D167" s="12" t="s">
        <v>587</v>
      </c>
      <c r="E167" s="12" t="s">
        <v>558</v>
      </c>
      <c r="F167" s="12" t="s">
        <v>323</v>
      </c>
      <c r="G167" s="12" t="s">
        <v>319</v>
      </c>
      <c r="H167" s="65">
        <v>3.5</v>
      </c>
      <c r="I167" s="65">
        <v>3.5</v>
      </c>
      <c r="J167" s="65">
        <v>3.5</v>
      </c>
      <c r="K167" s="65" t="str">
        <f t="shared" si="12"/>
        <v>Average</v>
      </c>
      <c r="L167" s="65" t="str">
        <f t="shared" si="13"/>
        <v>Medium</v>
      </c>
      <c r="M167" s="70" t="str">
        <f t="shared" si="14"/>
        <v>2B</v>
      </c>
    </row>
    <row r="168" spans="1:13" x14ac:dyDescent="0.25">
      <c r="A168" s="76">
        <v>10122</v>
      </c>
      <c r="B168" s="12" t="s">
        <v>169</v>
      </c>
      <c r="C168" s="66" t="s">
        <v>397</v>
      </c>
      <c r="D168" s="12" t="s">
        <v>586</v>
      </c>
      <c r="E168" s="12" t="s">
        <v>556</v>
      </c>
      <c r="F168" s="12" t="s">
        <v>103</v>
      </c>
      <c r="G168" s="12" t="s">
        <v>386</v>
      </c>
      <c r="H168" s="65">
        <v>3.9</v>
      </c>
      <c r="I168" s="65">
        <v>3.6</v>
      </c>
      <c r="J168" s="65">
        <v>4.2</v>
      </c>
      <c r="K168" s="65" t="str">
        <f t="shared" si="12"/>
        <v>Average</v>
      </c>
      <c r="L168" s="65" t="str">
        <f t="shared" si="13"/>
        <v>Medium</v>
      </c>
      <c r="M168" s="70" t="str">
        <f t="shared" si="14"/>
        <v>2B</v>
      </c>
    </row>
    <row r="169" spans="1:13" x14ac:dyDescent="0.25">
      <c r="A169" s="76">
        <v>50007</v>
      </c>
      <c r="B169" s="12" t="s">
        <v>135</v>
      </c>
      <c r="C169" s="66" t="s">
        <v>136</v>
      </c>
      <c r="D169" s="12" t="s">
        <v>586</v>
      </c>
      <c r="E169" s="12" t="s">
        <v>556</v>
      </c>
      <c r="F169" s="12" t="s">
        <v>137</v>
      </c>
      <c r="G169" s="12" t="s">
        <v>138</v>
      </c>
      <c r="H169" s="65">
        <v>4</v>
      </c>
      <c r="I169" s="65">
        <v>4</v>
      </c>
      <c r="J169" s="65">
        <v>4</v>
      </c>
      <c r="K169" s="65" t="str">
        <f t="shared" si="12"/>
        <v>Average</v>
      </c>
      <c r="L169" s="65" t="str">
        <f t="shared" si="13"/>
        <v>Medium</v>
      </c>
      <c r="M169" s="70" t="str">
        <f t="shared" si="14"/>
        <v>2B</v>
      </c>
    </row>
    <row r="170" spans="1:13" hidden="1" x14ac:dyDescent="0.25">
      <c r="A170" s="76">
        <v>10854</v>
      </c>
      <c r="B170" s="12" t="s">
        <v>241</v>
      </c>
      <c r="C170" s="66" t="s">
        <v>102</v>
      </c>
      <c r="D170" s="12" t="s">
        <v>586</v>
      </c>
      <c r="E170" s="12" t="s">
        <v>591</v>
      </c>
      <c r="F170" s="12" t="s">
        <v>242</v>
      </c>
      <c r="G170" s="12" t="s">
        <v>243</v>
      </c>
      <c r="H170" s="65">
        <v>3.9</v>
      </c>
      <c r="I170" s="65">
        <v>3.6</v>
      </c>
      <c r="J170" s="65">
        <v>4.2</v>
      </c>
      <c r="K170" s="65" t="str">
        <f t="shared" si="12"/>
        <v>Average</v>
      </c>
      <c r="L170" s="65" t="str">
        <f t="shared" si="13"/>
        <v>Medium</v>
      </c>
      <c r="M170" s="70" t="str">
        <f t="shared" si="14"/>
        <v>2B</v>
      </c>
    </row>
    <row r="171" spans="1:13" hidden="1" x14ac:dyDescent="0.25">
      <c r="A171" s="76">
        <v>31431</v>
      </c>
      <c r="B171" s="12" t="s">
        <v>180</v>
      </c>
      <c r="C171" s="66" t="s">
        <v>412</v>
      </c>
      <c r="D171" s="12" t="s">
        <v>585</v>
      </c>
      <c r="E171" s="12" t="s">
        <v>560</v>
      </c>
      <c r="F171" s="12" t="s">
        <v>176</v>
      </c>
      <c r="G171" s="12" t="s">
        <v>413</v>
      </c>
      <c r="H171" s="65">
        <v>4.5999999999999996</v>
      </c>
      <c r="I171" s="65">
        <v>4.5999999999999996</v>
      </c>
      <c r="J171" s="65">
        <v>4.5</v>
      </c>
      <c r="K171" s="65" t="str">
        <f t="shared" si="12"/>
        <v>High</v>
      </c>
      <c r="L171" s="65" t="str">
        <f t="shared" si="13"/>
        <v>High</v>
      </c>
      <c r="M171" s="70" t="str">
        <f t="shared" si="14"/>
        <v>3C</v>
      </c>
    </row>
    <row r="172" spans="1:13" hidden="1" x14ac:dyDescent="0.25">
      <c r="A172" s="76">
        <v>48477</v>
      </c>
      <c r="B172" s="12" t="s">
        <v>360</v>
      </c>
      <c r="C172" s="66" t="s">
        <v>361</v>
      </c>
      <c r="D172" s="12" t="s">
        <v>587</v>
      </c>
      <c r="E172" s="12" t="s">
        <v>558</v>
      </c>
      <c r="F172" s="12" t="s">
        <v>323</v>
      </c>
      <c r="G172" s="12" t="s">
        <v>319</v>
      </c>
      <c r="H172" s="65">
        <v>3.7</v>
      </c>
      <c r="I172" s="65">
        <v>3.6</v>
      </c>
      <c r="J172" s="65">
        <v>3.8</v>
      </c>
      <c r="K172" s="65" t="str">
        <f t="shared" si="12"/>
        <v>Average</v>
      </c>
      <c r="L172" s="65" t="str">
        <f t="shared" si="13"/>
        <v>Medium</v>
      </c>
      <c r="M172" s="70" t="str">
        <f t="shared" si="14"/>
        <v>2B</v>
      </c>
    </row>
    <row r="173" spans="1:13" x14ac:dyDescent="0.25">
      <c r="A173" s="76">
        <v>10836</v>
      </c>
      <c r="B173" s="12" t="s">
        <v>401</v>
      </c>
      <c r="C173" s="66" t="s">
        <v>403</v>
      </c>
      <c r="D173" s="12" t="s">
        <v>585</v>
      </c>
      <c r="E173" s="12" t="s">
        <v>556</v>
      </c>
      <c r="F173" s="12" t="s">
        <v>150</v>
      </c>
      <c r="G173" s="12" t="s">
        <v>151</v>
      </c>
      <c r="H173" s="65">
        <v>5</v>
      </c>
      <c r="I173" s="65">
        <v>5</v>
      </c>
      <c r="J173" s="65">
        <v>5</v>
      </c>
      <c r="K173" s="65" t="str">
        <f t="shared" si="12"/>
        <v>High</v>
      </c>
      <c r="L173" s="65" t="str">
        <f t="shared" si="13"/>
        <v>High</v>
      </c>
      <c r="M173" s="70" t="str">
        <f t="shared" si="14"/>
        <v>3C</v>
      </c>
    </row>
    <row r="174" spans="1:13" hidden="1" x14ac:dyDescent="0.25">
      <c r="A174" s="76">
        <v>50023</v>
      </c>
      <c r="B174" s="12" t="s">
        <v>362</v>
      </c>
      <c r="C174" s="66" t="s">
        <v>182</v>
      </c>
      <c r="D174" s="12" t="s">
        <v>586</v>
      </c>
      <c r="E174" s="12" t="s">
        <v>558</v>
      </c>
      <c r="F174" s="12" t="s">
        <v>363</v>
      </c>
      <c r="G174" s="12" t="s">
        <v>316</v>
      </c>
      <c r="H174" s="65">
        <v>4</v>
      </c>
      <c r="I174" s="65">
        <v>4</v>
      </c>
      <c r="J174" s="65">
        <v>4</v>
      </c>
      <c r="K174" s="65" t="str">
        <f t="shared" ref="K174:K209" si="15">IF(H174="","",
IF(OR(H174="NR",H174="NA"),"NA",
IF(H174&lt;$K$4,$J$4,
IF(H174&lt;$K$5,$J$5,$J$6)
)))</f>
        <v>Average</v>
      </c>
      <c r="L174" s="65" t="str">
        <f t="shared" ref="L174:L209" si="16">IF(J174="","",
IF(OR(J174="NR",J174="NA"),"NA",
IF(J174&lt;$N$4,$M$4,
IF(J174&lt;$N$5,$M$5,$M$6)
)))</f>
        <v>Medium</v>
      </c>
      <c r="M174" s="70" t="str">
        <f t="shared" ref="M174:M205" si="17">IF(OR(K174="",L174=""),"",
IF(AND(K174=$J$6,L174=$M$6),"3C",
IF(AND(K174=$J$5,L174=$M$6),"3B",
IF(AND(K174=$J$4,L174=$M$6),"3A",
IF(AND(K174=$J$6,L174=$M$5),"2C",
IF(AND(K174=$J$5,L174=$M$5),"2B",
IF(AND(K174=$J$4,L174=$M$5),"2A",
IF(AND(K174=$J$6,L174=$M$4),"1C",
IF(AND(K174=$J$5,L174=$M$4),"1B",
IF(AND(K174=$J$4,L174=$M$4),"1A","")
)))))))))</f>
        <v>2B</v>
      </c>
    </row>
    <row r="175" spans="1:13" x14ac:dyDescent="0.25">
      <c r="A175" s="76">
        <v>50431</v>
      </c>
      <c r="B175" s="12" t="s">
        <v>139</v>
      </c>
      <c r="C175" s="66" t="s">
        <v>140</v>
      </c>
      <c r="D175" s="12" t="s">
        <v>585</v>
      </c>
      <c r="E175" s="12" t="s">
        <v>556</v>
      </c>
      <c r="F175" s="12" t="s">
        <v>141</v>
      </c>
      <c r="G175" s="12" t="s">
        <v>121</v>
      </c>
      <c r="H175" s="65">
        <v>4.3</v>
      </c>
      <c r="I175" s="65">
        <v>0</v>
      </c>
      <c r="J175" s="65">
        <v>4.3</v>
      </c>
      <c r="K175" s="65" t="str">
        <f t="shared" si="15"/>
        <v>Average</v>
      </c>
      <c r="L175" s="65" t="str">
        <f t="shared" si="16"/>
        <v>Medium</v>
      </c>
      <c r="M175" s="70" t="str">
        <f t="shared" si="17"/>
        <v>2B</v>
      </c>
    </row>
    <row r="176" spans="1:13" hidden="1" x14ac:dyDescent="0.25">
      <c r="A176" s="76">
        <v>48443</v>
      </c>
      <c r="B176" s="12" t="s">
        <v>263</v>
      </c>
      <c r="C176" s="66" t="s">
        <v>264</v>
      </c>
      <c r="D176" s="12" t="s">
        <v>585</v>
      </c>
      <c r="E176" s="12" t="s">
        <v>594</v>
      </c>
      <c r="F176" s="12" t="s">
        <v>265</v>
      </c>
      <c r="G176" s="12" t="s">
        <v>266</v>
      </c>
      <c r="H176" s="65">
        <v>3</v>
      </c>
      <c r="I176" s="65">
        <v>3</v>
      </c>
      <c r="J176" s="65">
        <v>3</v>
      </c>
      <c r="K176" s="65" t="str">
        <f t="shared" si="15"/>
        <v>Poor</v>
      </c>
      <c r="L176" s="65" t="str">
        <f t="shared" si="16"/>
        <v>Medium</v>
      </c>
      <c r="M176" s="70" t="str">
        <f t="shared" si="17"/>
        <v>2A</v>
      </c>
    </row>
    <row r="177" spans="1:13" hidden="1" x14ac:dyDescent="0.25">
      <c r="A177" s="76">
        <v>10822</v>
      </c>
      <c r="B177" s="12" t="s">
        <v>247</v>
      </c>
      <c r="C177" s="66" t="s">
        <v>248</v>
      </c>
      <c r="D177" s="12" t="s">
        <v>586</v>
      </c>
      <c r="E177" s="12" t="s">
        <v>591</v>
      </c>
      <c r="F177" s="12" t="s">
        <v>249</v>
      </c>
      <c r="G177" s="12" t="s">
        <v>250</v>
      </c>
      <c r="H177" s="65">
        <v>4.2</v>
      </c>
      <c r="I177" s="65">
        <v>4.0999999999999996</v>
      </c>
      <c r="J177" s="65">
        <v>4.3</v>
      </c>
      <c r="K177" s="65" t="str">
        <f t="shared" si="15"/>
        <v>Average</v>
      </c>
      <c r="L177" s="65" t="str">
        <f t="shared" si="16"/>
        <v>Medium</v>
      </c>
      <c r="M177" s="70" t="str">
        <f t="shared" si="17"/>
        <v>2B</v>
      </c>
    </row>
    <row r="178" spans="1:13" x14ac:dyDescent="0.25">
      <c r="A178" s="76">
        <v>4686</v>
      </c>
      <c r="B178" s="12" t="s">
        <v>88</v>
      </c>
      <c r="C178" s="66" t="s">
        <v>397</v>
      </c>
      <c r="D178" s="12" t="s">
        <v>586</v>
      </c>
      <c r="E178" s="12" t="s">
        <v>559</v>
      </c>
      <c r="F178" s="12" t="s">
        <v>398</v>
      </c>
      <c r="G178" s="12" t="s">
        <v>151</v>
      </c>
      <c r="H178" s="65">
        <v>5</v>
      </c>
      <c r="I178" s="65">
        <v>5</v>
      </c>
      <c r="J178" s="65">
        <v>5</v>
      </c>
      <c r="K178" s="65" t="str">
        <f t="shared" si="15"/>
        <v>High</v>
      </c>
      <c r="L178" s="65" t="str">
        <f t="shared" si="16"/>
        <v>High</v>
      </c>
      <c r="M178" s="70" t="str">
        <f t="shared" si="17"/>
        <v>3C</v>
      </c>
    </row>
    <row r="179" spans="1:13" x14ac:dyDescent="0.25">
      <c r="A179" s="76">
        <v>49420</v>
      </c>
      <c r="B179" s="12" t="s">
        <v>94</v>
      </c>
      <c r="C179" s="66" t="s">
        <v>95</v>
      </c>
      <c r="D179" s="12" t="s">
        <v>586</v>
      </c>
      <c r="E179" s="12" t="s">
        <v>559</v>
      </c>
      <c r="F179" s="12" t="s">
        <v>96</v>
      </c>
      <c r="G179" s="12" t="s">
        <v>88</v>
      </c>
      <c r="H179" s="65">
        <v>4.4000000000000004</v>
      </c>
      <c r="I179" s="65">
        <v>4.5</v>
      </c>
      <c r="J179" s="65">
        <v>4.3</v>
      </c>
      <c r="K179" s="65" t="str">
        <f t="shared" si="15"/>
        <v>High</v>
      </c>
      <c r="L179" s="65" t="str">
        <f t="shared" si="16"/>
        <v>Medium</v>
      </c>
      <c r="M179" s="70" t="str">
        <f t="shared" si="17"/>
        <v>2C</v>
      </c>
    </row>
    <row r="180" spans="1:13" hidden="1" x14ac:dyDescent="0.25">
      <c r="A180" s="87">
        <v>6616</v>
      </c>
      <c r="B180" s="73" t="s">
        <v>284</v>
      </c>
      <c r="C180" s="74" t="s">
        <v>25</v>
      </c>
      <c r="D180" s="73" t="s">
        <v>587</v>
      </c>
      <c r="E180" s="73" t="s">
        <v>595</v>
      </c>
      <c r="F180" s="73" t="s">
        <v>285</v>
      </c>
      <c r="G180" s="73" t="s">
        <v>279</v>
      </c>
      <c r="H180" s="47" t="s">
        <v>19</v>
      </c>
      <c r="I180" s="47"/>
      <c r="J180" s="47"/>
      <c r="K180" s="47" t="str">
        <f t="shared" si="15"/>
        <v>NA</v>
      </c>
      <c r="L180" s="47" t="str">
        <f t="shared" si="16"/>
        <v/>
      </c>
      <c r="M180" s="92" t="str">
        <f t="shared" si="17"/>
        <v/>
      </c>
    </row>
    <row r="181" spans="1:13" hidden="1" x14ac:dyDescent="0.25">
      <c r="A181" s="76">
        <v>10892</v>
      </c>
      <c r="B181" s="12" t="s">
        <v>245</v>
      </c>
      <c r="C181" s="66" t="s">
        <v>246</v>
      </c>
      <c r="D181" s="12" t="s">
        <v>586</v>
      </c>
      <c r="E181" s="12" t="s">
        <v>591</v>
      </c>
      <c r="F181" s="12" t="s">
        <v>224</v>
      </c>
      <c r="G181" s="12" t="s">
        <v>225</v>
      </c>
      <c r="H181" s="65">
        <v>4.0999999999999996</v>
      </c>
      <c r="I181" s="65">
        <v>4.4000000000000004</v>
      </c>
      <c r="J181" s="65">
        <v>3.7</v>
      </c>
      <c r="K181" s="65" t="str">
        <f t="shared" si="15"/>
        <v>Average</v>
      </c>
      <c r="L181" s="65" t="str">
        <f t="shared" si="16"/>
        <v>Medium</v>
      </c>
      <c r="M181" s="70" t="str">
        <f t="shared" si="17"/>
        <v>2B</v>
      </c>
    </row>
    <row r="182" spans="1:13" hidden="1" x14ac:dyDescent="0.25">
      <c r="A182" s="76">
        <v>10840</v>
      </c>
      <c r="B182" s="12" t="s">
        <v>364</v>
      </c>
      <c r="C182" s="66" t="s">
        <v>365</v>
      </c>
      <c r="D182" s="12" t="s">
        <v>586</v>
      </c>
      <c r="E182" s="12" t="s">
        <v>558</v>
      </c>
      <c r="F182" s="12" t="s">
        <v>315</v>
      </c>
      <c r="G182" s="12" t="s">
        <v>316</v>
      </c>
      <c r="H182" s="65">
        <v>3.6</v>
      </c>
      <c r="I182" s="65">
        <v>3.6</v>
      </c>
      <c r="J182" s="65">
        <v>3.5</v>
      </c>
      <c r="K182" s="65" t="str">
        <f t="shared" si="15"/>
        <v>Average</v>
      </c>
      <c r="L182" s="65" t="str">
        <f t="shared" si="16"/>
        <v>Medium</v>
      </c>
      <c r="M182" s="70" t="str">
        <f t="shared" si="17"/>
        <v>2B</v>
      </c>
    </row>
    <row r="183" spans="1:13" x14ac:dyDescent="0.25">
      <c r="A183" s="76">
        <v>31217</v>
      </c>
      <c r="B183" s="12" t="s">
        <v>104</v>
      </c>
      <c r="C183" s="66" t="s">
        <v>404</v>
      </c>
      <c r="D183" s="12" t="s">
        <v>585</v>
      </c>
      <c r="E183" s="12" t="s">
        <v>556</v>
      </c>
      <c r="F183" s="12" t="s">
        <v>400</v>
      </c>
      <c r="G183" s="12" t="s">
        <v>401</v>
      </c>
      <c r="H183" s="65">
        <v>4.8</v>
      </c>
      <c r="I183" s="65">
        <v>4.9000000000000004</v>
      </c>
      <c r="J183" s="65">
        <v>4.7</v>
      </c>
      <c r="K183" s="65" t="str">
        <f t="shared" si="15"/>
        <v>High</v>
      </c>
      <c r="L183" s="65" t="str">
        <f t="shared" si="16"/>
        <v>High</v>
      </c>
      <c r="M183" s="70" t="str">
        <f t="shared" si="17"/>
        <v>3C</v>
      </c>
    </row>
    <row r="184" spans="1:13" hidden="1" x14ac:dyDescent="0.25">
      <c r="A184" s="76">
        <v>10304</v>
      </c>
      <c r="B184" s="12" t="s">
        <v>366</v>
      </c>
      <c r="C184" s="66" t="s">
        <v>367</v>
      </c>
      <c r="D184" s="12" t="s">
        <v>586</v>
      </c>
      <c r="E184" s="12" t="s">
        <v>558</v>
      </c>
      <c r="F184" s="12" t="s">
        <v>315</v>
      </c>
      <c r="G184" s="12" t="s">
        <v>316</v>
      </c>
      <c r="H184" s="65">
        <v>3.8</v>
      </c>
      <c r="I184" s="65">
        <v>3.9</v>
      </c>
      <c r="J184" s="65">
        <v>3.7</v>
      </c>
      <c r="K184" s="65" t="str">
        <f t="shared" si="15"/>
        <v>Average</v>
      </c>
      <c r="L184" s="65" t="str">
        <f t="shared" si="16"/>
        <v>Medium</v>
      </c>
      <c r="M184" s="70" t="str">
        <f t="shared" si="17"/>
        <v>2B</v>
      </c>
    </row>
    <row r="185" spans="1:13" hidden="1" x14ac:dyDescent="0.25">
      <c r="A185" s="76">
        <v>10838</v>
      </c>
      <c r="B185" s="12" t="s">
        <v>250</v>
      </c>
      <c r="C185" s="66" t="s">
        <v>436</v>
      </c>
      <c r="D185" s="12" t="s">
        <v>586</v>
      </c>
      <c r="E185" s="12" t="s">
        <v>591</v>
      </c>
      <c r="F185" s="12" t="s">
        <v>437</v>
      </c>
      <c r="G185" s="12" t="s">
        <v>382</v>
      </c>
      <c r="H185" s="65">
        <v>4.7</v>
      </c>
      <c r="I185" s="65">
        <v>4.5999999999999996</v>
      </c>
      <c r="J185" s="65">
        <v>4.8</v>
      </c>
      <c r="K185" s="65" t="str">
        <f t="shared" si="15"/>
        <v>High</v>
      </c>
      <c r="L185" s="65" t="str">
        <f t="shared" si="16"/>
        <v>High</v>
      </c>
      <c r="M185" s="70" t="str">
        <f t="shared" si="17"/>
        <v>3C</v>
      </c>
    </row>
    <row r="186" spans="1:13" x14ac:dyDescent="0.25">
      <c r="A186" s="76">
        <v>48805</v>
      </c>
      <c r="B186" s="12" t="s">
        <v>81</v>
      </c>
      <c r="C186" s="66" t="s">
        <v>82</v>
      </c>
      <c r="D186" s="12" t="s">
        <v>587</v>
      </c>
      <c r="E186" s="12" t="s">
        <v>559</v>
      </c>
      <c r="F186" s="12" t="s">
        <v>57</v>
      </c>
      <c r="G186" s="12" t="s">
        <v>76</v>
      </c>
      <c r="H186" s="65">
        <v>4.5999999999999996</v>
      </c>
      <c r="I186" s="65">
        <v>4.4000000000000004</v>
      </c>
      <c r="J186" s="65">
        <v>4.8</v>
      </c>
      <c r="K186" s="65" t="str">
        <f t="shared" si="15"/>
        <v>High</v>
      </c>
      <c r="L186" s="65" t="str">
        <f t="shared" si="16"/>
        <v>High</v>
      </c>
      <c r="M186" s="70" t="str">
        <f t="shared" si="17"/>
        <v>3C</v>
      </c>
    </row>
    <row r="187" spans="1:13" hidden="1" x14ac:dyDescent="0.25">
      <c r="A187" s="76">
        <v>10511</v>
      </c>
      <c r="B187" s="12" t="s">
        <v>368</v>
      </c>
      <c r="C187" s="66" t="s">
        <v>145</v>
      </c>
      <c r="D187" s="12" t="s">
        <v>586</v>
      </c>
      <c r="E187" s="12" t="s">
        <v>558</v>
      </c>
      <c r="F187" s="12" t="s">
        <v>369</v>
      </c>
      <c r="G187" s="12" t="s">
        <v>333</v>
      </c>
      <c r="H187" s="65">
        <v>4.9000000000000004</v>
      </c>
      <c r="I187" s="65">
        <v>5</v>
      </c>
      <c r="J187" s="65">
        <v>4.8</v>
      </c>
      <c r="K187" s="65" t="str">
        <f t="shared" si="15"/>
        <v>High</v>
      </c>
      <c r="L187" s="65" t="str">
        <f t="shared" si="16"/>
        <v>High</v>
      </c>
      <c r="M187" s="70" t="str">
        <f t="shared" si="17"/>
        <v>3C</v>
      </c>
    </row>
    <row r="188" spans="1:13" hidden="1" x14ac:dyDescent="0.25">
      <c r="A188" s="76">
        <v>10116</v>
      </c>
      <c r="B188" s="12" t="s">
        <v>29</v>
      </c>
      <c r="C188" s="66" t="s">
        <v>385</v>
      </c>
      <c r="D188" s="12" t="s">
        <v>586</v>
      </c>
      <c r="E188" s="12" t="s">
        <v>589</v>
      </c>
      <c r="F188" s="12" t="s">
        <v>383</v>
      </c>
      <c r="G188" s="12" t="s">
        <v>386</v>
      </c>
      <c r="H188" s="65">
        <v>4.4000000000000004</v>
      </c>
      <c r="I188" s="65">
        <v>4.5</v>
      </c>
      <c r="J188" s="65">
        <v>4.2</v>
      </c>
      <c r="K188" s="65" t="str">
        <f t="shared" si="15"/>
        <v>High</v>
      </c>
      <c r="L188" s="65" t="str">
        <f t="shared" si="16"/>
        <v>Medium</v>
      </c>
      <c r="M188" s="70" t="str">
        <f t="shared" si="17"/>
        <v>2C</v>
      </c>
    </row>
    <row r="189" spans="1:13" hidden="1" x14ac:dyDescent="0.25">
      <c r="A189" s="76">
        <v>6588</v>
      </c>
      <c r="B189" s="12" t="s">
        <v>218</v>
      </c>
      <c r="C189" s="66" t="s">
        <v>25</v>
      </c>
      <c r="D189" s="12" t="s">
        <v>587</v>
      </c>
      <c r="E189" s="12" t="s">
        <v>591</v>
      </c>
      <c r="F189" s="12" t="s">
        <v>209</v>
      </c>
      <c r="G189" s="12" t="s">
        <v>200</v>
      </c>
      <c r="H189" s="65">
        <v>3</v>
      </c>
      <c r="I189" s="65">
        <v>3</v>
      </c>
      <c r="J189" s="65">
        <v>3</v>
      </c>
      <c r="K189" s="65" t="str">
        <f t="shared" si="15"/>
        <v>Poor</v>
      </c>
      <c r="L189" s="65" t="str">
        <f t="shared" si="16"/>
        <v>Medium</v>
      </c>
      <c r="M189" s="70" t="str">
        <f t="shared" si="17"/>
        <v>2A</v>
      </c>
    </row>
    <row r="190" spans="1:13" x14ac:dyDescent="0.25">
      <c r="A190" s="76">
        <v>10319</v>
      </c>
      <c r="B190" s="12" t="s">
        <v>155</v>
      </c>
      <c r="C190" s="66" t="s">
        <v>411</v>
      </c>
      <c r="D190" s="12" t="s">
        <v>586</v>
      </c>
      <c r="E190" s="12" t="s">
        <v>556</v>
      </c>
      <c r="F190" s="12" t="s">
        <v>103</v>
      </c>
      <c r="G190" s="12" t="s">
        <v>386</v>
      </c>
      <c r="H190" s="65">
        <v>4.3</v>
      </c>
      <c r="I190" s="65">
        <v>3.9</v>
      </c>
      <c r="J190" s="65">
        <v>4.7</v>
      </c>
      <c r="K190" s="65" t="str">
        <f t="shared" si="15"/>
        <v>Average</v>
      </c>
      <c r="L190" s="65" t="str">
        <f t="shared" si="16"/>
        <v>High</v>
      </c>
      <c r="M190" s="70" t="str">
        <f t="shared" si="17"/>
        <v>3B</v>
      </c>
    </row>
    <row r="191" spans="1:13" hidden="1" x14ac:dyDescent="0.25">
      <c r="A191" s="76">
        <v>50952</v>
      </c>
      <c r="B191" s="12" t="s">
        <v>370</v>
      </c>
      <c r="C191" s="66" t="s">
        <v>306</v>
      </c>
      <c r="D191" s="12" t="s">
        <v>586</v>
      </c>
      <c r="E191" s="12" t="s">
        <v>558</v>
      </c>
      <c r="F191" s="12" t="s">
        <v>371</v>
      </c>
      <c r="G191" s="12" t="s">
        <v>333</v>
      </c>
      <c r="H191" s="65">
        <v>3.5</v>
      </c>
      <c r="I191" s="65">
        <v>3.5</v>
      </c>
      <c r="J191" s="65">
        <v>3.5</v>
      </c>
      <c r="K191" s="65" t="str">
        <f t="shared" si="15"/>
        <v>Average</v>
      </c>
      <c r="L191" s="65" t="str">
        <f t="shared" si="16"/>
        <v>Medium</v>
      </c>
      <c r="M191" s="70" t="str">
        <f t="shared" si="17"/>
        <v>2B</v>
      </c>
    </row>
    <row r="192" spans="1:13" hidden="1" x14ac:dyDescent="0.25">
      <c r="A192" s="76">
        <v>50823</v>
      </c>
      <c r="B192" s="12" t="s">
        <v>262</v>
      </c>
      <c r="C192" s="66" t="s">
        <v>206</v>
      </c>
      <c r="D192" s="12" t="s">
        <v>585</v>
      </c>
      <c r="E192" s="12" t="s">
        <v>593</v>
      </c>
      <c r="F192" s="12" t="s">
        <v>258</v>
      </c>
      <c r="G192" s="12" t="s">
        <v>259</v>
      </c>
      <c r="H192" s="65">
        <v>3.4</v>
      </c>
      <c r="I192" s="65">
        <v>3.4</v>
      </c>
      <c r="J192" s="65">
        <v>3.3</v>
      </c>
      <c r="K192" s="65" t="str">
        <f t="shared" si="15"/>
        <v>Average</v>
      </c>
      <c r="L192" s="65" t="str">
        <f t="shared" si="16"/>
        <v>Medium</v>
      </c>
      <c r="M192" s="70" t="str">
        <f t="shared" si="17"/>
        <v>2B</v>
      </c>
    </row>
    <row r="193" spans="1:13" hidden="1" x14ac:dyDescent="0.25">
      <c r="A193" s="76">
        <v>50170</v>
      </c>
      <c r="B193" s="12" t="s">
        <v>190</v>
      </c>
      <c r="C193" s="66" t="s">
        <v>191</v>
      </c>
      <c r="D193" s="12" t="s">
        <v>585</v>
      </c>
      <c r="E193" s="12" t="s">
        <v>574</v>
      </c>
      <c r="F193" s="12" t="s">
        <v>192</v>
      </c>
      <c r="G193" s="12" t="s">
        <v>151</v>
      </c>
      <c r="H193" s="65">
        <v>5</v>
      </c>
      <c r="I193" s="65">
        <v>5</v>
      </c>
      <c r="J193" s="65">
        <v>5</v>
      </c>
      <c r="K193" s="65" t="str">
        <f t="shared" si="15"/>
        <v>High</v>
      </c>
      <c r="L193" s="65" t="str">
        <f t="shared" si="16"/>
        <v>High</v>
      </c>
      <c r="M193" s="70" t="str">
        <f t="shared" si="17"/>
        <v>3C</v>
      </c>
    </row>
    <row r="194" spans="1:13" hidden="1" x14ac:dyDescent="0.25">
      <c r="A194" s="76">
        <v>50175</v>
      </c>
      <c r="B194" s="12" t="s">
        <v>300</v>
      </c>
      <c r="C194" s="66" t="s">
        <v>179</v>
      </c>
      <c r="D194" s="12" t="s">
        <v>585</v>
      </c>
      <c r="E194" s="12" t="s">
        <v>564</v>
      </c>
      <c r="F194" s="12" t="s">
        <v>301</v>
      </c>
      <c r="G194" s="12" t="s">
        <v>292</v>
      </c>
      <c r="H194" s="65">
        <v>4</v>
      </c>
      <c r="I194" s="65">
        <v>4</v>
      </c>
      <c r="J194" s="65">
        <v>4</v>
      </c>
      <c r="K194" s="65" t="str">
        <f t="shared" si="15"/>
        <v>Average</v>
      </c>
      <c r="L194" s="65" t="str">
        <f t="shared" si="16"/>
        <v>Medium</v>
      </c>
      <c r="M194" s="70" t="str">
        <f t="shared" si="17"/>
        <v>2B</v>
      </c>
    </row>
    <row r="195" spans="1:13" hidden="1" x14ac:dyDescent="0.25">
      <c r="A195" s="76">
        <v>10860</v>
      </c>
      <c r="B195" s="12" t="s">
        <v>379</v>
      </c>
      <c r="C195" s="66" t="s">
        <v>42</v>
      </c>
      <c r="D195" s="12" t="s">
        <v>586</v>
      </c>
      <c r="E195" s="12" t="s">
        <v>380</v>
      </c>
      <c r="F195" s="12" t="s">
        <v>381</v>
      </c>
      <c r="G195" s="12" t="s">
        <v>382</v>
      </c>
      <c r="H195" s="65" t="s">
        <v>267</v>
      </c>
      <c r="I195" s="65" t="s">
        <v>19</v>
      </c>
      <c r="J195" s="65" t="s">
        <v>19</v>
      </c>
      <c r="K195" s="65" t="str">
        <f t="shared" si="15"/>
        <v>NA</v>
      </c>
      <c r="L195" s="65" t="str">
        <f t="shared" si="16"/>
        <v>NA</v>
      </c>
      <c r="M195" s="70" t="str">
        <f t="shared" si="17"/>
        <v/>
      </c>
    </row>
    <row r="196" spans="1:13" hidden="1" x14ac:dyDescent="0.25">
      <c r="A196" s="76">
        <v>31430</v>
      </c>
      <c r="B196" s="12" t="s">
        <v>292</v>
      </c>
      <c r="C196" s="66" t="s">
        <v>456</v>
      </c>
      <c r="D196" s="12" t="s">
        <v>585</v>
      </c>
      <c r="E196" s="12" t="s">
        <v>564</v>
      </c>
      <c r="F196" s="12" t="s">
        <v>457</v>
      </c>
      <c r="G196" s="12" t="s">
        <v>458</v>
      </c>
      <c r="H196" s="65">
        <v>4.8</v>
      </c>
      <c r="I196" s="65">
        <v>4.9000000000000004</v>
      </c>
      <c r="J196" s="65">
        <v>4.7</v>
      </c>
      <c r="K196" s="65" t="str">
        <f t="shared" si="15"/>
        <v>High</v>
      </c>
      <c r="L196" s="65" t="str">
        <f t="shared" si="16"/>
        <v>High</v>
      </c>
      <c r="M196" s="70" t="str">
        <f t="shared" si="17"/>
        <v>3C</v>
      </c>
    </row>
    <row r="197" spans="1:13" hidden="1" x14ac:dyDescent="0.25">
      <c r="A197" s="76">
        <v>47406</v>
      </c>
      <c r="B197" s="12" t="s">
        <v>372</v>
      </c>
      <c r="C197" s="66" t="s">
        <v>373</v>
      </c>
      <c r="D197" s="12" t="s">
        <v>586</v>
      </c>
      <c r="E197" s="12" t="s">
        <v>558</v>
      </c>
      <c r="F197" s="12" t="s">
        <v>327</v>
      </c>
      <c r="G197" s="12" t="s">
        <v>316</v>
      </c>
      <c r="H197" s="65">
        <v>4.2</v>
      </c>
      <c r="I197" s="65">
        <v>4.4000000000000004</v>
      </c>
      <c r="J197" s="65">
        <v>4</v>
      </c>
      <c r="K197" s="65" t="str">
        <f t="shared" si="15"/>
        <v>Average</v>
      </c>
      <c r="L197" s="65" t="str">
        <f t="shared" si="16"/>
        <v>Medium</v>
      </c>
      <c r="M197" s="70" t="str">
        <f t="shared" si="17"/>
        <v>2B</v>
      </c>
    </row>
    <row r="198" spans="1:13" x14ac:dyDescent="0.25">
      <c r="A198" s="76">
        <v>47994</v>
      </c>
      <c r="B198" s="12" t="s">
        <v>142</v>
      </c>
      <c r="C198" s="66" t="s">
        <v>143</v>
      </c>
      <c r="D198" s="12" t="s">
        <v>585</v>
      </c>
      <c r="E198" s="12" t="s">
        <v>556</v>
      </c>
      <c r="F198" s="12" t="s">
        <v>103</v>
      </c>
      <c r="G198" s="12" t="s">
        <v>121</v>
      </c>
      <c r="H198" s="65">
        <v>4.9000000000000004</v>
      </c>
      <c r="I198" s="65">
        <v>4.8</v>
      </c>
      <c r="J198" s="65">
        <v>5</v>
      </c>
      <c r="K198" s="65" t="str">
        <f t="shared" si="15"/>
        <v>High</v>
      </c>
      <c r="L198" s="65" t="str">
        <f t="shared" si="16"/>
        <v>High</v>
      </c>
      <c r="M198" s="70" t="str">
        <f t="shared" si="17"/>
        <v>3C</v>
      </c>
    </row>
    <row r="199" spans="1:13" hidden="1" x14ac:dyDescent="0.25">
      <c r="A199" s="76">
        <v>6548</v>
      </c>
      <c r="B199" s="12" t="s">
        <v>319</v>
      </c>
      <c r="C199" s="66" t="s">
        <v>25</v>
      </c>
      <c r="D199" s="12" t="s">
        <v>587</v>
      </c>
      <c r="E199" s="12" t="s">
        <v>558</v>
      </c>
      <c r="F199" s="12" t="s">
        <v>467</v>
      </c>
      <c r="G199" s="12" t="s">
        <v>316</v>
      </c>
      <c r="H199" s="65">
        <v>4</v>
      </c>
      <c r="I199" s="65">
        <v>4.2</v>
      </c>
      <c r="J199" s="65">
        <v>3.7</v>
      </c>
      <c r="K199" s="65" t="str">
        <f t="shared" si="15"/>
        <v>Average</v>
      </c>
      <c r="L199" s="65" t="str">
        <f t="shared" si="16"/>
        <v>Medium</v>
      </c>
      <c r="M199" s="70" t="str">
        <f t="shared" si="17"/>
        <v>2B</v>
      </c>
    </row>
    <row r="200" spans="1:13" hidden="1" x14ac:dyDescent="0.25">
      <c r="A200" s="76">
        <v>6587</v>
      </c>
      <c r="B200" s="12" t="s">
        <v>374</v>
      </c>
      <c r="C200" s="66" t="s">
        <v>375</v>
      </c>
      <c r="D200" s="12" t="s">
        <v>586</v>
      </c>
      <c r="E200" s="12" t="s">
        <v>558</v>
      </c>
      <c r="F200" s="12" t="s">
        <v>332</v>
      </c>
      <c r="G200" s="12" t="s">
        <v>333</v>
      </c>
      <c r="H200" s="65">
        <v>4.4000000000000004</v>
      </c>
      <c r="I200" s="65">
        <v>4.5</v>
      </c>
      <c r="J200" s="65">
        <v>4.2</v>
      </c>
      <c r="K200" s="65" t="str">
        <f t="shared" si="15"/>
        <v>High</v>
      </c>
      <c r="L200" s="65" t="str">
        <f t="shared" si="16"/>
        <v>Medium</v>
      </c>
      <c r="M200" s="70" t="str">
        <f t="shared" si="17"/>
        <v>2C</v>
      </c>
    </row>
    <row r="201" spans="1:13" hidden="1" x14ac:dyDescent="0.25">
      <c r="A201" s="76">
        <v>10830</v>
      </c>
      <c r="B201" s="12" t="s">
        <v>302</v>
      </c>
      <c r="C201" s="66" t="s">
        <v>303</v>
      </c>
      <c r="D201" s="12" t="s">
        <v>586</v>
      </c>
      <c r="E201" s="12" t="s">
        <v>564</v>
      </c>
      <c r="F201" s="12" t="s">
        <v>291</v>
      </c>
      <c r="G201" s="12" t="s">
        <v>304</v>
      </c>
      <c r="H201" s="65">
        <v>4.8</v>
      </c>
      <c r="I201" s="65">
        <v>4.5999999999999996</v>
      </c>
      <c r="J201" s="65">
        <v>5</v>
      </c>
      <c r="K201" s="65" t="str">
        <f t="shared" si="15"/>
        <v>High</v>
      </c>
      <c r="L201" s="65" t="str">
        <f t="shared" si="16"/>
        <v>High</v>
      </c>
      <c r="M201" s="70" t="str">
        <f t="shared" si="17"/>
        <v>3C</v>
      </c>
    </row>
    <row r="202" spans="1:13" hidden="1" x14ac:dyDescent="0.25">
      <c r="A202" s="76">
        <v>31249</v>
      </c>
      <c r="B202" s="12" t="s">
        <v>286</v>
      </c>
      <c r="C202" s="66" t="s">
        <v>287</v>
      </c>
      <c r="D202" s="12" t="s">
        <v>585</v>
      </c>
      <c r="E202" s="12" t="s">
        <v>595</v>
      </c>
      <c r="F202" s="12" t="s">
        <v>288</v>
      </c>
      <c r="G202" s="12" t="s">
        <v>283</v>
      </c>
      <c r="H202" s="65">
        <v>3.2</v>
      </c>
      <c r="I202" s="65">
        <v>3.3</v>
      </c>
      <c r="J202" s="65">
        <v>3</v>
      </c>
      <c r="K202" s="65" t="str">
        <f t="shared" si="15"/>
        <v>Poor</v>
      </c>
      <c r="L202" s="65" t="str">
        <f t="shared" si="16"/>
        <v>Medium</v>
      </c>
      <c r="M202" s="70" t="str">
        <f t="shared" si="17"/>
        <v>2A</v>
      </c>
    </row>
    <row r="203" spans="1:13" hidden="1" x14ac:dyDescent="0.25">
      <c r="A203" s="76">
        <v>6545</v>
      </c>
      <c r="B203" s="12" t="s">
        <v>384</v>
      </c>
      <c r="C203" s="66" t="s">
        <v>25</v>
      </c>
      <c r="D203" s="12" t="s">
        <v>587</v>
      </c>
      <c r="E203" s="12" t="s">
        <v>596</v>
      </c>
      <c r="F203" s="12" t="s">
        <v>425</v>
      </c>
      <c r="G203" s="12" t="s">
        <v>151</v>
      </c>
      <c r="H203" s="65">
        <v>5</v>
      </c>
      <c r="I203" s="65">
        <v>5</v>
      </c>
      <c r="J203" s="65">
        <v>5</v>
      </c>
      <c r="K203" s="65" t="str">
        <f t="shared" si="15"/>
        <v>High</v>
      </c>
      <c r="L203" s="65" t="str">
        <f t="shared" si="16"/>
        <v>High</v>
      </c>
      <c r="M203" s="70" t="str">
        <f t="shared" si="17"/>
        <v>3C</v>
      </c>
    </row>
    <row r="204" spans="1:13" hidden="1" x14ac:dyDescent="0.25">
      <c r="A204" s="76">
        <v>47527</v>
      </c>
      <c r="B204" s="12" t="s">
        <v>376</v>
      </c>
      <c r="C204" s="66" t="s">
        <v>377</v>
      </c>
      <c r="D204" s="12" t="s">
        <v>586</v>
      </c>
      <c r="E204" s="12" t="s">
        <v>558</v>
      </c>
      <c r="F204" s="12" t="s">
        <v>332</v>
      </c>
      <c r="G204" s="12" t="s">
        <v>333</v>
      </c>
      <c r="H204" s="65">
        <v>4.8</v>
      </c>
      <c r="I204" s="65">
        <v>4.8</v>
      </c>
      <c r="J204" s="65">
        <v>4.7</v>
      </c>
      <c r="K204" s="65" t="str">
        <f t="shared" si="15"/>
        <v>High</v>
      </c>
      <c r="L204" s="65" t="str">
        <f t="shared" si="16"/>
        <v>High</v>
      </c>
      <c r="M204" s="70" t="str">
        <f t="shared" si="17"/>
        <v>3C</v>
      </c>
    </row>
    <row r="205" spans="1:13" hidden="1" x14ac:dyDescent="0.25">
      <c r="A205" s="76">
        <v>47725</v>
      </c>
      <c r="B205" s="12" t="s">
        <v>185</v>
      </c>
      <c r="C205" s="66" t="s">
        <v>149</v>
      </c>
      <c r="D205" s="12" t="s">
        <v>586</v>
      </c>
      <c r="E205" s="12" t="s">
        <v>590</v>
      </c>
      <c r="F205" s="12" t="s">
        <v>186</v>
      </c>
      <c r="G205" s="12" t="s">
        <v>117</v>
      </c>
      <c r="H205" s="65">
        <v>3.9</v>
      </c>
      <c r="I205" s="65">
        <v>4</v>
      </c>
      <c r="J205" s="65">
        <v>3.8</v>
      </c>
      <c r="K205" s="65" t="str">
        <f t="shared" si="15"/>
        <v>Average</v>
      </c>
      <c r="L205" s="65" t="str">
        <f t="shared" si="16"/>
        <v>Medium</v>
      </c>
      <c r="M205" s="70" t="str">
        <f t="shared" si="17"/>
        <v>2B</v>
      </c>
    </row>
    <row r="206" spans="1:13" x14ac:dyDescent="0.25">
      <c r="A206" s="76">
        <v>6553</v>
      </c>
      <c r="B206" s="12" t="s">
        <v>69</v>
      </c>
      <c r="C206" s="66" t="s">
        <v>25</v>
      </c>
      <c r="D206" s="12" t="s">
        <v>587</v>
      </c>
      <c r="E206" s="12" t="s">
        <v>559</v>
      </c>
      <c r="F206" s="12" t="s">
        <v>396</v>
      </c>
      <c r="G206" s="12" t="s">
        <v>55</v>
      </c>
      <c r="H206" s="65">
        <v>4.3</v>
      </c>
      <c r="I206" s="65">
        <v>4.5</v>
      </c>
      <c r="J206" s="65">
        <v>4</v>
      </c>
      <c r="K206" s="65" t="str">
        <f t="shared" si="15"/>
        <v>Average</v>
      </c>
      <c r="L206" s="65" t="str">
        <f t="shared" si="16"/>
        <v>Medium</v>
      </c>
      <c r="M206" s="70" t="str">
        <f t="shared" ref="M206:M209" si="18">IF(OR(K206="",L206=""),"",
IF(AND(K206=$J$6,L206=$M$6),"3C",
IF(AND(K206=$J$5,L206=$M$6),"3B",
IF(AND(K206=$J$4,L206=$M$6),"3A",
IF(AND(K206=$J$6,L206=$M$5),"2C",
IF(AND(K206=$J$5,L206=$M$5),"2B",
IF(AND(K206=$J$4,L206=$M$5),"2A",
IF(AND(K206=$J$6,L206=$M$4),"1C",
IF(AND(K206=$J$5,L206=$M$4),"1B",
IF(AND(K206=$J$4,L206=$M$4),"1A","")
)))))))))</f>
        <v>2B</v>
      </c>
    </row>
    <row r="207" spans="1:13" hidden="1" x14ac:dyDescent="0.25">
      <c r="A207" s="76">
        <v>50048</v>
      </c>
      <c r="B207" s="12" t="s">
        <v>378</v>
      </c>
      <c r="C207" s="66" t="s">
        <v>359</v>
      </c>
      <c r="D207" s="12" t="s">
        <v>587</v>
      </c>
      <c r="E207" s="12" t="s">
        <v>558</v>
      </c>
      <c r="F207" s="12" t="s">
        <v>323</v>
      </c>
      <c r="G207" s="12" t="s">
        <v>319</v>
      </c>
      <c r="H207" s="65">
        <v>3.5</v>
      </c>
      <c r="I207" s="65">
        <v>3.5</v>
      </c>
      <c r="J207" s="65">
        <v>3.5</v>
      </c>
      <c r="K207" s="65" t="str">
        <f t="shared" si="15"/>
        <v>Average</v>
      </c>
      <c r="L207" s="65" t="str">
        <f t="shared" si="16"/>
        <v>Medium</v>
      </c>
      <c r="M207" s="70" t="str">
        <f t="shared" si="18"/>
        <v>2B</v>
      </c>
    </row>
    <row r="208" spans="1:13" x14ac:dyDescent="0.25">
      <c r="A208" s="76">
        <v>49788</v>
      </c>
      <c r="B208" s="12" t="s">
        <v>83</v>
      </c>
      <c r="C208" s="66" t="s">
        <v>84</v>
      </c>
      <c r="D208" s="12" t="s">
        <v>587</v>
      </c>
      <c r="E208" s="12" t="s">
        <v>559</v>
      </c>
      <c r="F208" s="12" t="s">
        <v>75</v>
      </c>
      <c r="G208" s="12" t="s">
        <v>58</v>
      </c>
      <c r="H208" s="65">
        <v>3.4</v>
      </c>
      <c r="I208" s="65">
        <v>3.4</v>
      </c>
      <c r="J208" s="65">
        <v>3.4</v>
      </c>
      <c r="K208" s="65" t="str">
        <f t="shared" si="15"/>
        <v>Average</v>
      </c>
      <c r="L208" s="65" t="str">
        <f t="shared" si="16"/>
        <v>Medium</v>
      </c>
      <c r="M208" s="70" t="str">
        <f t="shared" si="18"/>
        <v>2B</v>
      </c>
    </row>
    <row r="209" spans="1:13" x14ac:dyDescent="0.25">
      <c r="A209" s="84">
        <v>31216</v>
      </c>
      <c r="B209" s="18" t="s">
        <v>121</v>
      </c>
      <c r="C209" s="91" t="s">
        <v>405</v>
      </c>
      <c r="D209" s="18" t="s">
        <v>585</v>
      </c>
      <c r="E209" s="18" t="s">
        <v>556</v>
      </c>
      <c r="F209" s="18" t="s">
        <v>150</v>
      </c>
      <c r="G209" s="18" t="s">
        <v>151</v>
      </c>
      <c r="H209" s="62">
        <v>5</v>
      </c>
      <c r="I209" s="62">
        <v>5</v>
      </c>
      <c r="J209" s="62">
        <v>5</v>
      </c>
      <c r="K209" s="62" t="str">
        <f t="shared" si="15"/>
        <v>High</v>
      </c>
      <c r="L209" s="62" t="str">
        <f t="shared" si="16"/>
        <v>High</v>
      </c>
      <c r="M209" s="85" t="str">
        <f t="shared" si="18"/>
        <v>3C</v>
      </c>
    </row>
  </sheetData>
  <mergeCells count="4">
    <mergeCell ref="D3:D5"/>
    <mergeCell ref="F7:H7"/>
    <mergeCell ref="J3:K3"/>
    <mergeCell ref="M3:N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FResult Record</vt:lpstr>
      <vt:lpstr>Overall Evaluation</vt:lpstr>
      <vt:lpstr>Grid_23</vt:lpstr>
      <vt:lpstr>Evalutaion 23</vt:lpstr>
      <vt:lpstr>Grid_24</vt:lpstr>
      <vt:lpstr>Evalutaion 24</vt:lpstr>
      <vt:lpstr>Gird_25 </vt:lpstr>
      <vt:lpstr>Evalutaion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Abdulaziz Alharbi</dc:creator>
  <cp:lastModifiedBy>Abdulaziz Alharbi</cp:lastModifiedBy>
  <cp:lastPrinted>2026-02-08T08:48:19Z</cp:lastPrinted>
  <dcterms:created xsi:type="dcterms:W3CDTF">2026-01-26T12:32:03Z</dcterms:created>
  <dcterms:modified xsi:type="dcterms:W3CDTF">2026-05-06T11:17:50Z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061b89-0404-4543-9d3a-26df94defe09_Enabled">
    <vt:lpwstr>true</vt:lpwstr>
  </property>
  <property fmtid="{D5CDD505-2E9C-101B-9397-08002B2CF9AE}" pid="3" name="MSIP_Label_08061b89-0404-4543-9d3a-26df94defe09_SetDate">
    <vt:lpwstr>2026-02-08T08:44:04Z</vt:lpwstr>
  </property>
  <property fmtid="{D5CDD505-2E9C-101B-9397-08002B2CF9AE}" pid="4" name="MSIP_Label_08061b89-0404-4543-9d3a-26df94defe09_Method">
    <vt:lpwstr>Standard</vt:lpwstr>
  </property>
  <property fmtid="{D5CDD505-2E9C-101B-9397-08002B2CF9AE}" pid="5" name="MSIP_Label_08061b89-0404-4543-9d3a-26df94defe09_Name">
    <vt:lpwstr>Internal - Unlabeled</vt:lpwstr>
  </property>
  <property fmtid="{D5CDD505-2E9C-101B-9397-08002B2CF9AE}" pid="6" name="MSIP_Label_08061b89-0404-4543-9d3a-26df94defe09_SiteId">
    <vt:lpwstr>a2b1d645-2205-433b-b4f4-98b6b3d66dcf</vt:lpwstr>
  </property>
  <property fmtid="{D5CDD505-2E9C-101B-9397-08002B2CF9AE}" pid="7" name="MSIP_Label_08061b89-0404-4543-9d3a-26df94defe09_ActionId">
    <vt:lpwstr>2319557a-e484-4bcb-a800-f30dc11e46f3</vt:lpwstr>
  </property>
  <property fmtid="{D5CDD505-2E9C-101B-9397-08002B2CF9AE}" pid="8" name="MSIP_Label_08061b89-0404-4543-9d3a-26df94defe09_ContentBits">
    <vt:lpwstr>0</vt:lpwstr>
  </property>
  <property fmtid="{D5CDD505-2E9C-101B-9397-08002B2CF9AE}" pid="9" name="MSIP_Label_08061b89-0404-4543-9d3a-26df94defe09_Tag">
    <vt:lpwstr>10, 3, 0, 1</vt:lpwstr>
  </property>
</Properties>
</file>